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228"/>
  <workbookPr defaultThemeVersion="166925"/>
  <mc:AlternateContent xmlns:mc="http://schemas.openxmlformats.org/markup-compatibility/2006">
    <mc:Choice Requires="x15">
      <x15ac:absPath xmlns:x15ac="http://schemas.microsoft.com/office/spreadsheetml/2010/11/ac" url="D:\Projects\"/>
    </mc:Choice>
  </mc:AlternateContent>
  <xr:revisionPtr revIDLastSave="0" documentId="13_ncr:1_{DE0BB7E8-2864-4E82-B82B-DB7B7EDD476E}" xr6:coauthVersionLast="47" xr6:coauthVersionMax="47" xr10:uidLastSave="{00000000-0000-0000-0000-000000000000}"/>
  <bookViews>
    <workbookView xWindow="-108" yWindow="-108" windowWidth="23256" windowHeight="12576" xr2:uid="{BF5A353F-FA76-4B95-B41B-8FB5B5C28583}"/>
  </bookViews>
  <sheets>
    <sheet name="Ave" sheetId="1" r:id="rId1"/>
    <sheet name="Sample" sheetId="2" r:id="rId2"/>
    <sheet name="Average Year" sheetId="6" r:id="rId3"/>
    <sheet name="Color" sheetId="7" r:id="rId4"/>
    <sheet name="mileage" sheetId="10" r:id="rId5"/>
    <sheet name="Engine" sheetId="11" r:id="rId6"/>
    <sheet name="Sample 1" sheetId="3" r:id="rId7"/>
    <sheet name="Corelation" sheetId="12" r:id="rId8"/>
    <sheet name="Relation" sheetId="5" r:id="rId9"/>
    <sheet name="No. of Owner" sheetId="4" r:id="rId10"/>
  </sheets>
  <definedNames>
    <definedName name="_xlnm._FilterDatabase" localSheetId="1" hidden="1">Sample!$A$1:$G$100</definedName>
    <definedName name="_xlnm._FilterDatabase" localSheetId="6" hidden="1">'Sample 1'!$A$1:$M$598</definedName>
  </definedNames>
  <calcPr calcId="191029"/>
  <pivotCaches>
    <pivotCache cacheId="0" r:id="rId11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F3" i="3" l="1"/>
  <c r="F4" i="3"/>
  <c r="F5" i="3"/>
  <c r="F6" i="3"/>
  <c r="F8" i="3"/>
  <c r="F9" i="3"/>
  <c r="F10" i="3"/>
  <c r="F11" i="3"/>
  <c r="F12" i="3"/>
  <c r="F13" i="3"/>
  <c r="F14" i="3"/>
  <c r="F15" i="3"/>
  <c r="F16" i="3"/>
  <c r="F17" i="3"/>
  <c r="F18" i="3"/>
  <c r="F19" i="3"/>
  <c r="F20" i="3"/>
  <c r="F21" i="3"/>
  <c r="F22" i="3"/>
  <c r="F23" i="3"/>
  <c r="F24" i="3"/>
  <c r="F25" i="3"/>
  <c r="F26" i="3"/>
  <c r="F27" i="3"/>
  <c r="F28" i="3"/>
  <c r="F29" i="3"/>
  <c r="F30" i="3"/>
  <c r="F31" i="3"/>
  <c r="F32" i="3"/>
  <c r="F33" i="3"/>
  <c r="F34" i="3"/>
  <c r="F35" i="3"/>
  <c r="F36" i="3"/>
  <c r="F37" i="3"/>
  <c r="F38" i="3"/>
  <c r="F39" i="3"/>
  <c r="F41" i="3"/>
  <c r="F42" i="3"/>
  <c r="F43" i="3"/>
  <c r="F44" i="3"/>
  <c r="F45" i="3"/>
  <c r="F46" i="3"/>
  <c r="F48" i="3"/>
  <c r="F49" i="3"/>
  <c r="F50" i="3"/>
  <c r="F51" i="3"/>
  <c r="F52" i="3"/>
  <c r="F53" i="3"/>
  <c r="F54" i="3"/>
  <c r="F55" i="3"/>
  <c r="F56" i="3"/>
  <c r="F57" i="3"/>
  <c r="F58" i="3"/>
  <c r="F59" i="3"/>
  <c r="F60" i="3"/>
  <c r="F61" i="3"/>
  <c r="F62" i="3"/>
  <c r="F63" i="3"/>
  <c r="F64" i="3"/>
  <c r="F65" i="3"/>
  <c r="F66" i="3"/>
  <c r="F67" i="3"/>
  <c r="F68" i="3"/>
  <c r="F70" i="3"/>
  <c r="F71" i="3"/>
  <c r="F72" i="3"/>
  <c r="F73" i="3"/>
  <c r="F74" i="3"/>
  <c r="F76" i="3"/>
  <c r="F77" i="3"/>
  <c r="F78" i="3"/>
  <c r="F79" i="3"/>
  <c r="F80" i="3"/>
  <c r="F81" i="3"/>
  <c r="F82" i="3"/>
  <c r="F83" i="3"/>
  <c r="F84" i="3"/>
  <c r="F85" i="3"/>
  <c r="F86" i="3"/>
  <c r="F87" i="3"/>
  <c r="F89" i="3"/>
  <c r="F91" i="3"/>
  <c r="F92" i="3"/>
  <c r="F93" i="3"/>
  <c r="F94" i="3"/>
  <c r="F96" i="3"/>
  <c r="F97" i="3"/>
  <c r="F98" i="3"/>
  <c r="F99" i="3"/>
  <c r="F100" i="3"/>
  <c r="F101" i="3"/>
  <c r="F2" i="3" l="1"/>
  <c r="D7" i="12" s="1"/>
  <c r="G7" i="12"/>
  <c r="F7" i="12"/>
  <c r="E7" i="12"/>
  <c r="C7" i="12"/>
  <c r="F6" i="12"/>
  <c r="E6" i="12"/>
  <c r="C6" i="12"/>
  <c r="E5" i="12"/>
  <c r="C5" i="12"/>
  <c r="C3" i="12"/>
  <c r="J5" i="2"/>
  <c r="J4" i="2"/>
  <c r="D6" i="12" l="1"/>
  <c r="C4" i="12"/>
  <c r="D4" i="12"/>
  <c r="B6" i="5"/>
  <c r="B4" i="5"/>
  <c r="B1" i="5"/>
  <c r="F4" i="1"/>
  <c r="F12" i="1"/>
  <c r="F2" i="1"/>
  <c r="E3" i="1"/>
  <c r="E4" i="1"/>
  <c r="E5" i="1"/>
  <c r="E6" i="1"/>
  <c r="E7" i="1"/>
  <c r="E8" i="1"/>
  <c r="F8" i="1" s="1"/>
  <c r="E9" i="1"/>
  <c r="E10" i="1"/>
  <c r="F10" i="1" s="1"/>
  <c r="E11" i="1"/>
  <c r="E12" i="1"/>
  <c r="E13" i="1"/>
  <c r="E14" i="1"/>
  <c r="E15" i="1"/>
  <c r="E16" i="1"/>
  <c r="E17" i="1"/>
  <c r="E18" i="1"/>
  <c r="F18" i="1" s="1"/>
  <c r="E19" i="1"/>
  <c r="E2" i="1"/>
  <c r="D4" i="1"/>
  <c r="D5" i="1"/>
  <c r="F5" i="1" s="1"/>
  <c r="D6" i="1"/>
  <c r="D7" i="1"/>
  <c r="D8" i="1"/>
  <c r="D9" i="1"/>
  <c r="F9" i="1" s="1"/>
  <c r="D10" i="1"/>
  <c r="D11" i="1"/>
  <c r="F11" i="1" s="1"/>
  <c r="D12" i="1"/>
  <c r="D13" i="1"/>
  <c r="F13" i="1" s="1"/>
  <c r="D14" i="1"/>
  <c r="D15" i="1"/>
  <c r="F15" i="1" s="1"/>
  <c r="D16" i="1"/>
  <c r="D17" i="1"/>
  <c r="F17" i="1" s="1"/>
  <c r="D18" i="1"/>
  <c r="D19" i="1"/>
  <c r="F19" i="1" s="1"/>
  <c r="D3" i="1"/>
  <c r="F3" i="1" s="1"/>
  <c r="C8" i="10"/>
  <c r="C16" i="10"/>
  <c r="C9" i="10"/>
  <c r="C17" i="10"/>
  <c r="C20" i="10"/>
  <c r="C13" i="10"/>
  <c r="C14" i="10"/>
  <c r="C15" i="10"/>
  <c r="C10" i="10"/>
  <c r="C18" i="10"/>
  <c r="C11" i="10"/>
  <c r="C19" i="10"/>
  <c r="C12" i="10"/>
  <c r="C5" i="10"/>
  <c r="C6" i="10"/>
  <c r="C7" i="10"/>
  <c r="C4" i="10"/>
  <c r="F16" i="1" l="1"/>
  <c r="F7" i="1"/>
  <c r="F14" i="1"/>
  <c r="F6" i="1"/>
  <c r="G7" i="1" l="1"/>
  <c r="G9" i="1"/>
  <c r="G3" i="1"/>
  <c r="G5" i="1"/>
  <c r="G12" i="1"/>
  <c r="G4" i="1"/>
  <c r="G13" i="1"/>
  <c r="G2" i="1"/>
  <c r="G10" i="1"/>
  <c r="G17" i="1"/>
  <c r="G6" i="1"/>
  <c r="G11" i="1"/>
  <c r="G18" i="1"/>
  <c r="G16" i="1"/>
  <c r="G14" i="1"/>
  <c r="G8" i="1"/>
  <c r="G19" i="1"/>
  <c r="G15" i="1"/>
</calcChain>
</file>

<file path=xl/sharedStrings.xml><?xml version="1.0" encoding="utf-8"?>
<sst xmlns="http://schemas.openxmlformats.org/spreadsheetml/2006/main" count="891" uniqueCount="125">
  <si>
    <t>F(M-Xbar)^2</t>
  </si>
  <si>
    <t>Lower Bound</t>
  </si>
  <si>
    <t>Higher Bound</t>
  </si>
  <si>
    <t>F</t>
  </si>
  <si>
    <t>Mid point</t>
  </si>
  <si>
    <t>Price</t>
  </si>
  <si>
    <t>Mileage</t>
  </si>
  <si>
    <t>Fuel</t>
  </si>
  <si>
    <t>Gear</t>
  </si>
  <si>
    <t>Door</t>
  </si>
  <si>
    <t>Reg</t>
  </si>
  <si>
    <t>Diesel</t>
  </si>
  <si>
    <t>Petrol</t>
  </si>
  <si>
    <t>Automatic</t>
  </si>
  <si>
    <t xml:space="preserve">Manual </t>
  </si>
  <si>
    <t>No.</t>
  </si>
  <si>
    <t>Hybrid</t>
  </si>
  <si>
    <t>Plug-in Hybrid</t>
  </si>
  <si>
    <t>Drive Type</t>
  </si>
  <si>
    <t>Engine Size</t>
  </si>
  <si>
    <t>Color</t>
  </si>
  <si>
    <t>Manual</t>
  </si>
  <si>
    <t>1.6L</t>
  </si>
  <si>
    <t>Silver</t>
  </si>
  <si>
    <t>Owner</t>
  </si>
  <si>
    <t>74.3mpg</t>
  </si>
  <si>
    <t>Front Wheel drive</t>
  </si>
  <si>
    <t>No</t>
  </si>
  <si>
    <t>1.4L</t>
  </si>
  <si>
    <t>44.8mpg</t>
  </si>
  <si>
    <t>Blue</t>
  </si>
  <si>
    <t>2.0L</t>
  </si>
  <si>
    <t>39.8mpg</t>
  </si>
  <si>
    <t>52.3mpg</t>
  </si>
  <si>
    <t>1.0L</t>
  </si>
  <si>
    <t>Black</t>
  </si>
  <si>
    <t>54.3mpg</t>
  </si>
  <si>
    <t>1.5L</t>
  </si>
  <si>
    <t>Grey</t>
  </si>
  <si>
    <t>50.4mpg</t>
  </si>
  <si>
    <t>45.6mpg</t>
  </si>
  <si>
    <t>62.8mpg</t>
  </si>
  <si>
    <t>35.8mpg</t>
  </si>
  <si>
    <t>White</t>
  </si>
  <si>
    <t>156.9mpg</t>
  </si>
  <si>
    <t>Red</t>
  </si>
  <si>
    <t>68.9mpg</t>
  </si>
  <si>
    <t>Yes</t>
  </si>
  <si>
    <t>44.1mpg</t>
  </si>
  <si>
    <t>49.6mpg</t>
  </si>
  <si>
    <t>Four Wheel Drive</t>
  </si>
  <si>
    <t>40.9mpg</t>
  </si>
  <si>
    <t>47.1mpg</t>
  </si>
  <si>
    <t>38.7mpg</t>
  </si>
  <si>
    <t>40.35mpg</t>
  </si>
  <si>
    <t>72.43mpg</t>
  </si>
  <si>
    <t>40.4mpg</t>
  </si>
  <si>
    <t>70.6mpg</t>
  </si>
  <si>
    <t>37mpg</t>
  </si>
  <si>
    <t>Yellow</t>
  </si>
  <si>
    <t>40mpg</t>
  </si>
  <si>
    <t>53.3mpg</t>
  </si>
  <si>
    <t>51.4mpg</t>
  </si>
  <si>
    <t>67.3mpg</t>
  </si>
  <si>
    <t>61.4mpg</t>
  </si>
  <si>
    <t>39.2mpg</t>
  </si>
  <si>
    <t>32.8mpg</t>
  </si>
  <si>
    <t>38.2mpg</t>
  </si>
  <si>
    <t>56.5mpg</t>
  </si>
  <si>
    <t>235.4mpg</t>
  </si>
  <si>
    <t>282.5mpg</t>
  </si>
  <si>
    <t>256.8mpg</t>
  </si>
  <si>
    <t>141.2mpg</t>
  </si>
  <si>
    <t>55.4mpg</t>
  </si>
  <si>
    <t>64.2mpg</t>
  </si>
  <si>
    <t>72.4mpg</t>
  </si>
  <si>
    <t>58.9mpg</t>
  </si>
  <si>
    <t>57.6mpg</t>
  </si>
  <si>
    <t>166mpg</t>
  </si>
  <si>
    <t>Grand Total</t>
  </si>
  <si>
    <t>Average of Price</t>
  </si>
  <si>
    <t>1-2</t>
  </si>
  <si>
    <t>3-4</t>
  </si>
  <si>
    <t>5-6</t>
  </si>
  <si>
    <t>&gt;7</t>
  </si>
  <si>
    <t>No. of Owner</t>
  </si>
  <si>
    <t>Petrol Hybrid</t>
  </si>
  <si>
    <t>Corelation</t>
  </si>
  <si>
    <t>Slope(b)</t>
  </si>
  <si>
    <t>Intercept(a)</t>
  </si>
  <si>
    <t>For every extra 1 mile → price drops by about £0.18</t>
  </si>
  <si>
    <t>When Mileage = 0, expected price ≈ £26,671</t>
  </si>
  <si>
    <t>Registration Year</t>
  </si>
  <si>
    <t>Pan-roof</t>
  </si>
  <si>
    <t>Row Labels</t>
  </si>
  <si>
    <t>2008-2011</t>
  </si>
  <si>
    <t>2012-2015</t>
  </si>
  <si>
    <t>2016-2019</t>
  </si>
  <si>
    <t>2020-2024</t>
  </si>
  <si>
    <t>&gt;2024</t>
  </si>
  <si>
    <t>0-9999</t>
  </si>
  <si>
    <t>10000-19999</t>
  </si>
  <si>
    <t>20000-29999</t>
  </si>
  <si>
    <t>30000-39999</t>
  </si>
  <si>
    <t>40000-49999</t>
  </si>
  <si>
    <t>50000-59999</t>
  </si>
  <si>
    <t>60000-69999</t>
  </si>
  <si>
    <t>70000-79999</t>
  </si>
  <si>
    <t>80000-89999</t>
  </si>
  <si>
    <t>90000-99999</t>
  </si>
  <si>
    <t>100000-109999</t>
  </si>
  <si>
    <t>110000-119999</t>
  </si>
  <si>
    <t>120000-129999</t>
  </si>
  <si>
    <t>130000-139999</t>
  </si>
  <si>
    <t>140000-149999</t>
  </si>
  <si>
    <t>Fuel Consumption(mpg)</t>
  </si>
  <si>
    <t>160000-169999</t>
  </si>
  <si>
    <t>170000-179999</t>
  </si>
  <si>
    <t>Mean</t>
  </si>
  <si>
    <t>SD</t>
  </si>
  <si>
    <t>Count F</t>
  </si>
  <si>
    <t>Mid point frequency</t>
  </si>
  <si>
    <t>Owner count</t>
  </si>
  <si>
    <t>Age of Car</t>
  </si>
  <si>
    <t>Age of cars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</si>
</sst>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43" formatCode="_(* #,##0.00_);_(* \(#,##0.00\);_(* &quot;-&quot;??_);_(@_)"/>
    <numFmt numFmtId="164" formatCode="_(* #,##0_);_(* \(#,##0\);_(* &quot;-&quot;??_);_(@_)"/>
    <numFmt numFmtId="165" formatCode="_-[$£-809]* #,##0_-;\-[$£-809]* #,##0_-;_-[$£-809]* &quot;-&quot;??_-;_-@_-"/>
    <numFmt numFmtId="166" formatCode="[$£-809]#,##0"/>
    <numFmt numFmtId="167" formatCode="[$£-809]#,##0.00"/>
  </numFmts>
  <fonts count="3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4" tint="0.79998168889431442"/>
        <bgColor theme="4" tint="0.79998168889431442"/>
      </patternFill>
    </fill>
  </fills>
  <borders count="1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theme="4" tint="0.39997558519241921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37">
    <xf numFmtId="0" fontId="0" fillId="0" borderId="0" xfId="0"/>
    <xf numFmtId="3" fontId="0" fillId="0" borderId="0" xfId="0" applyNumberFormat="1"/>
    <xf numFmtId="0" fontId="0" fillId="0" borderId="0" xfId="0" applyAlignment="1">
      <alignment horizontal="center"/>
    </xf>
    <xf numFmtId="164" fontId="0" fillId="0" borderId="0" xfId="1" applyNumberFormat="1" applyFont="1" applyAlignment="1">
      <alignment horizontal="center"/>
    </xf>
    <xf numFmtId="165" fontId="0" fillId="0" borderId="0" xfId="0" applyNumberFormat="1" applyAlignment="1">
      <alignment horizontal="center"/>
    </xf>
    <xf numFmtId="166" fontId="0" fillId="0" borderId="0" xfId="0" applyNumberFormat="1"/>
    <xf numFmtId="0" fontId="0" fillId="0" borderId="1" xfId="0" applyBorder="1" applyAlignment="1">
      <alignment horizontal="center"/>
    </xf>
    <xf numFmtId="166" fontId="0" fillId="0" borderId="1" xfId="0" applyNumberFormat="1" applyBorder="1" applyAlignment="1">
      <alignment horizontal="center"/>
    </xf>
    <xf numFmtId="164" fontId="0" fillId="0" borderId="1" xfId="1" applyNumberFormat="1" applyFont="1" applyBorder="1" applyAlignment="1">
      <alignment horizontal="center"/>
    </xf>
    <xf numFmtId="0" fontId="0" fillId="0" borderId="1" xfId="0" applyBorder="1"/>
    <xf numFmtId="166" fontId="0" fillId="0" borderId="1" xfId="0" applyNumberFormat="1" applyBorder="1"/>
    <xf numFmtId="3" fontId="0" fillId="0" borderId="1" xfId="0" applyNumberFormat="1" applyBorder="1"/>
    <xf numFmtId="0" fontId="0" fillId="0" borderId="1" xfId="0" applyBorder="1" applyAlignment="1">
      <alignment wrapText="1"/>
    </xf>
    <xf numFmtId="167" fontId="0" fillId="0" borderId="0" xfId="0" applyNumberFormat="1" applyAlignment="1">
      <alignment horizontal="center"/>
    </xf>
    <xf numFmtId="0" fontId="0" fillId="0" borderId="0" xfId="0" pivotButton="1"/>
    <xf numFmtId="0" fontId="0" fillId="0" borderId="0" xfId="0" applyAlignment="1">
      <alignment horizontal="left"/>
    </xf>
    <xf numFmtId="0" fontId="2" fillId="2" borderId="2" xfId="0" applyFont="1" applyFill="1" applyBorder="1"/>
    <xf numFmtId="0" fontId="2" fillId="0" borderId="0" xfId="0" applyFont="1" applyAlignment="1">
      <alignment horizontal="center"/>
    </xf>
    <xf numFmtId="167" fontId="2" fillId="2" borderId="2" xfId="0" applyNumberFormat="1" applyFont="1" applyFill="1" applyBorder="1"/>
    <xf numFmtId="167" fontId="0" fillId="0" borderId="0" xfId="0" applyNumberFormat="1"/>
    <xf numFmtId="167" fontId="2" fillId="0" borderId="0" xfId="0" applyNumberFormat="1" applyFont="1" applyAlignment="1">
      <alignment horizontal="center"/>
    </xf>
    <xf numFmtId="0" fontId="2" fillId="2" borderId="2" xfId="0" applyFont="1" applyFill="1" applyBorder="1" applyAlignment="1">
      <alignment horizontal="center"/>
    </xf>
    <xf numFmtId="167" fontId="2" fillId="2" borderId="2" xfId="0" applyNumberFormat="1" applyFont="1" applyFill="1" applyBorder="1" applyAlignment="1">
      <alignment horizontal="center"/>
    </xf>
    <xf numFmtId="0" fontId="0" fillId="0" borderId="0" xfId="0" applyAlignment="1">
      <alignment horizontal="center" vertical="center"/>
    </xf>
    <xf numFmtId="3" fontId="0" fillId="0" borderId="0" xfId="0" applyNumberFormat="1" applyAlignment="1">
      <alignment horizontal="center" vertical="center"/>
    </xf>
    <xf numFmtId="167" fontId="0" fillId="0" borderId="0" xfId="0" applyNumberFormat="1" applyAlignment="1">
      <alignment horizontal="center" vertical="center"/>
    </xf>
    <xf numFmtId="165" fontId="0" fillId="0" borderId="0" xfId="0" applyNumberFormat="1"/>
    <xf numFmtId="1" fontId="0" fillId="0" borderId="0" xfId="0" applyNumberFormat="1"/>
    <xf numFmtId="2" fontId="0" fillId="0" borderId="0" xfId="0" applyNumberFormat="1"/>
    <xf numFmtId="0" fontId="2" fillId="0" borderId="5" xfId="0" applyFont="1" applyBorder="1"/>
    <xf numFmtId="0" fontId="2" fillId="0" borderId="6" xfId="0" applyFont="1" applyBorder="1" applyAlignment="1">
      <alignment horizontal="center" vertical="center"/>
    </xf>
    <xf numFmtId="0" fontId="2" fillId="0" borderId="7" xfId="0" applyFont="1" applyBorder="1" applyAlignment="1">
      <alignment horizontal="center" vertical="center"/>
    </xf>
    <xf numFmtId="0" fontId="2" fillId="0" borderId="8" xfId="0" applyFont="1" applyBorder="1" applyAlignment="1">
      <alignment horizontal="center" vertical="center"/>
    </xf>
    <xf numFmtId="2" fontId="0" fillId="0" borderId="4" xfId="0" applyNumberFormat="1" applyBorder="1"/>
    <xf numFmtId="0" fontId="2" fillId="0" borderId="9" xfId="0" applyFont="1" applyBorder="1" applyAlignment="1">
      <alignment horizontal="center" vertical="center"/>
    </xf>
    <xf numFmtId="2" fontId="0" fillId="0" borderId="3" xfId="0" applyNumberFormat="1" applyBorder="1"/>
    <xf numFmtId="1" fontId="0" fillId="0" borderId="10" xfId="0" applyNumberFormat="1" applyBorder="1"/>
  </cellXfs>
  <cellStyles count="2">
    <cellStyle name="Comma" xfId="1" builtinId="3"/>
    <cellStyle name="Normal" xfId="0" builtinId="0"/>
  </cellStyles>
  <dxfs count="2">
    <dxf>
      <numFmt numFmtId="167" formatCode="[$£-809]#,##0.00"/>
    </dxf>
    <dxf>
      <numFmt numFmtId="167" formatCode="[$£-809]#,##0.0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pivotCacheDefinition" Target="pivotCache/pivotCacheDefinition1.xml"/><Relationship Id="rId5" Type="http://schemas.openxmlformats.org/officeDocument/2006/relationships/worksheet" Target="worksheets/sheet5.xml"/><Relationship Id="rId15" Type="http://schemas.openxmlformats.org/officeDocument/2006/relationships/calcChain" Target="calcChain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400" b="1" i="0" u="none" strike="noStrike" baseline="0">
                <a:solidFill>
                  <a:sysClr val="windowText" lastClr="000000"/>
                </a:solidFill>
              </a:rPr>
              <a:t>Each Extra Year Reduces Car Value by ~£1,700</a:t>
            </a:r>
            <a:endParaRPr lang="en-US" b="1">
              <a:solidFill>
                <a:sysClr val="windowText" lastClr="000000"/>
              </a:solidFill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'Sample 1'!$F$1</c:f>
              <c:strCache>
                <c:ptCount val="1"/>
                <c:pt idx="0">
                  <c:v>Age of cars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0"/>
            <c:dispEq val="0"/>
          </c:trendline>
          <c:trendline>
            <c:spPr>
              <a:ln w="19050" cap="rnd">
                <a:solidFill>
                  <a:schemeClr val="accent4"/>
                </a:solidFill>
                <a:prstDash val="sysDot"/>
              </a:ln>
              <a:effectLst/>
            </c:spPr>
            <c:trendlineType val="linear"/>
            <c:dispRSqr val="0"/>
            <c:dispEq val="0"/>
          </c:trendline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1"/>
            <c:dispEq val="0"/>
            <c:trendlineLbl>
              <c:layout>
                <c:manualLayout>
                  <c:x val="-0.3806646823302583"/>
                  <c:y val="-0.36152464275298923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trendline>
            <c:spPr>
              <a:ln w="19050" cap="rnd">
                <a:solidFill>
                  <a:schemeClr val="accent4"/>
                </a:solidFill>
                <a:prstDash val="sysDot"/>
              </a:ln>
              <a:effectLst/>
            </c:spPr>
            <c:trendlineType val="linear"/>
            <c:dispRSqr val="0"/>
            <c:dispEq val="1"/>
            <c:trendlineLbl>
              <c:layout>
                <c:manualLayout>
                  <c:x val="-0.14213706698190876"/>
                  <c:y val="-0.14908019830854477"/>
                </c:manualLayout>
              </c:layout>
              <c:tx>
                <c:rich>
                  <a:bodyPr rot="0" spcFirstLastPara="1" vertOverflow="ellipsis" vert="horz" wrap="square" anchor="ctr" anchorCtr="1"/>
                  <a:lstStyle/>
                  <a:p>
                    <a:pPr>
                      <a:defRPr sz="900" b="0" i="0" u="none" strike="noStrike" kern="1200" baseline="0">
                        <a:solidFill>
                          <a:schemeClr val="tx1">
                            <a:lumMod val="65000"/>
                            <a:lumOff val="35000"/>
                          </a:schemeClr>
                        </a:solidFill>
                        <a:latin typeface="+mn-lt"/>
                        <a:ea typeface="+mn-ea"/>
                        <a:cs typeface="+mn-cs"/>
                      </a:defRPr>
                    </a:pPr>
                    <a:r>
                      <a:rPr lang="en-US" b="1" baseline="0">
                        <a:solidFill>
                          <a:schemeClr val="accent2"/>
                        </a:solidFill>
                        <a:latin typeface="Arial" panose="020B0604020202020204" pitchFamily="34" charset="0"/>
                        <a:cs typeface="Arial" panose="020B0604020202020204" pitchFamily="34" charset="0"/>
                      </a:rPr>
                      <a:t>y = -1713.8x + 27043</a:t>
                    </a:r>
                    <a:endParaRPr lang="en-US" b="1">
                      <a:solidFill>
                        <a:schemeClr val="accent2"/>
                      </a:solidFill>
                      <a:latin typeface="Arial" panose="020B0604020202020204" pitchFamily="34" charset="0"/>
                      <a:cs typeface="Arial" panose="020B0604020202020204" pitchFamily="34" charset="0"/>
                    </a:endParaRPr>
                  </a:p>
                </c:rich>
              </c:tx>
              <c:numFmt formatCode="General" sourceLinked="0"/>
              <c:spPr>
                <a:noFill/>
                <a:ln cmpd="dbl">
                  <a:solidFill>
                    <a:schemeClr val="bg1"/>
                  </a:solidFill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'Sample 1'!$F$2:$F$105</c:f>
              <c:numCache>
                <c:formatCode>General</c:formatCode>
                <c:ptCount val="104"/>
                <c:pt idx="0">
                  <c:v>18</c:v>
                </c:pt>
                <c:pt idx="1">
                  <c:v>10</c:v>
                </c:pt>
                <c:pt idx="2">
                  <c:v>5</c:v>
                </c:pt>
                <c:pt idx="3">
                  <c:v>17</c:v>
                </c:pt>
                <c:pt idx="4">
                  <c:v>17</c:v>
                </c:pt>
                <c:pt idx="5">
                  <c:v>1</c:v>
                </c:pt>
                <c:pt idx="6">
                  <c:v>3</c:v>
                </c:pt>
                <c:pt idx="7">
                  <c:v>5</c:v>
                </c:pt>
                <c:pt idx="8">
                  <c:v>17</c:v>
                </c:pt>
                <c:pt idx="9">
                  <c:v>9</c:v>
                </c:pt>
                <c:pt idx="10">
                  <c:v>7</c:v>
                </c:pt>
                <c:pt idx="11">
                  <c:v>3</c:v>
                </c:pt>
                <c:pt idx="12">
                  <c:v>9</c:v>
                </c:pt>
                <c:pt idx="13">
                  <c:v>2</c:v>
                </c:pt>
                <c:pt idx="14">
                  <c:v>7</c:v>
                </c:pt>
                <c:pt idx="15">
                  <c:v>5</c:v>
                </c:pt>
                <c:pt idx="16">
                  <c:v>8</c:v>
                </c:pt>
                <c:pt idx="17">
                  <c:v>3</c:v>
                </c:pt>
                <c:pt idx="18">
                  <c:v>4</c:v>
                </c:pt>
                <c:pt idx="19">
                  <c:v>10</c:v>
                </c:pt>
                <c:pt idx="20">
                  <c:v>5</c:v>
                </c:pt>
                <c:pt idx="21">
                  <c:v>4</c:v>
                </c:pt>
                <c:pt idx="22">
                  <c:v>10</c:v>
                </c:pt>
                <c:pt idx="23">
                  <c:v>17</c:v>
                </c:pt>
                <c:pt idx="24">
                  <c:v>17</c:v>
                </c:pt>
                <c:pt idx="25">
                  <c:v>3</c:v>
                </c:pt>
                <c:pt idx="26">
                  <c:v>7</c:v>
                </c:pt>
                <c:pt idx="27">
                  <c:v>17</c:v>
                </c:pt>
                <c:pt idx="28">
                  <c:v>10</c:v>
                </c:pt>
                <c:pt idx="29">
                  <c:v>17</c:v>
                </c:pt>
                <c:pt idx="30">
                  <c:v>10</c:v>
                </c:pt>
                <c:pt idx="31">
                  <c:v>6</c:v>
                </c:pt>
                <c:pt idx="32">
                  <c:v>9</c:v>
                </c:pt>
                <c:pt idx="33">
                  <c:v>5</c:v>
                </c:pt>
                <c:pt idx="34">
                  <c:v>5</c:v>
                </c:pt>
                <c:pt idx="35">
                  <c:v>16</c:v>
                </c:pt>
                <c:pt idx="36">
                  <c:v>3</c:v>
                </c:pt>
                <c:pt idx="37">
                  <c:v>3</c:v>
                </c:pt>
                <c:pt idx="38">
                  <c:v>1</c:v>
                </c:pt>
                <c:pt idx="39">
                  <c:v>3</c:v>
                </c:pt>
                <c:pt idx="40">
                  <c:v>9</c:v>
                </c:pt>
                <c:pt idx="41">
                  <c:v>4</c:v>
                </c:pt>
                <c:pt idx="42">
                  <c:v>9</c:v>
                </c:pt>
                <c:pt idx="43">
                  <c:v>3</c:v>
                </c:pt>
                <c:pt idx="44">
                  <c:v>16</c:v>
                </c:pt>
                <c:pt idx="45">
                  <c:v>1</c:v>
                </c:pt>
                <c:pt idx="46">
                  <c:v>16</c:v>
                </c:pt>
                <c:pt idx="47">
                  <c:v>5</c:v>
                </c:pt>
                <c:pt idx="48">
                  <c:v>5</c:v>
                </c:pt>
                <c:pt idx="49">
                  <c:v>3</c:v>
                </c:pt>
                <c:pt idx="50">
                  <c:v>3</c:v>
                </c:pt>
                <c:pt idx="51">
                  <c:v>14</c:v>
                </c:pt>
                <c:pt idx="52">
                  <c:v>4</c:v>
                </c:pt>
                <c:pt idx="53">
                  <c:v>10</c:v>
                </c:pt>
                <c:pt idx="54">
                  <c:v>7</c:v>
                </c:pt>
                <c:pt idx="55">
                  <c:v>14</c:v>
                </c:pt>
                <c:pt idx="56">
                  <c:v>7</c:v>
                </c:pt>
                <c:pt idx="57">
                  <c:v>8</c:v>
                </c:pt>
                <c:pt idx="58">
                  <c:v>2</c:v>
                </c:pt>
                <c:pt idx="59">
                  <c:v>8</c:v>
                </c:pt>
                <c:pt idx="60">
                  <c:v>2</c:v>
                </c:pt>
                <c:pt idx="61">
                  <c:v>13</c:v>
                </c:pt>
                <c:pt idx="62">
                  <c:v>4</c:v>
                </c:pt>
                <c:pt idx="63">
                  <c:v>2</c:v>
                </c:pt>
                <c:pt idx="64">
                  <c:v>5</c:v>
                </c:pt>
                <c:pt idx="65">
                  <c:v>9</c:v>
                </c:pt>
                <c:pt idx="66">
                  <c:v>13</c:v>
                </c:pt>
                <c:pt idx="67">
                  <c:v>1</c:v>
                </c:pt>
                <c:pt idx="68">
                  <c:v>5</c:v>
                </c:pt>
                <c:pt idx="69">
                  <c:v>13</c:v>
                </c:pt>
                <c:pt idx="70">
                  <c:v>7</c:v>
                </c:pt>
                <c:pt idx="71">
                  <c:v>13</c:v>
                </c:pt>
                <c:pt idx="72">
                  <c:v>3</c:v>
                </c:pt>
                <c:pt idx="73">
                  <c:v>1</c:v>
                </c:pt>
                <c:pt idx="74">
                  <c:v>4</c:v>
                </c:pt>
                <c:pt idx="75">
                  <c:v>12</c:v>
                </c:pt>
                <c:pt idx="76">
                  <c:v>8</c:v>
                </c:pt>
                <c:pt idx="77">
                  <c:v>6</c:v>
                </c:pt>
                <c:pt idx="78">
                  <c:v>12</c:v>
                </c:pt>
                <c:pt idx="79">
                  <c:v>4</c:v>
                </c:pt>
                <c:pt idx="80">
                  <c:v>4</c:v>
                </c:pt>
                <c:pt idx="81">
                  <c:v>6</c:v>
                </c:pt>
                <c:pt idx="82">
                  <c:v>11</c:v>
                </c:pt>
                <c:pt idx="83">
                  <c:v>7</c:v>
                </c:pt>
                <c:pt idx="84">
                  <c:v>6</c:v>
                </c:pt>
                <c:pt idx="85">
                  <c:v>4</c:v>
                </c:pt>
                <c:pt idx="86">
                  <c:v>1</c:v>
                </c:pt>
                <c:pt idx="87">
                  <c:v>4</c:v>
                </c:pt>
                <c:pt idx="88">
                  <c:v>1</c:v>
                </c:pt>
                <c:pt idx="89">
                  <c:v>8</c:v>
                </c:pt>
                <c:pt idx="90">
                  <c:v>5</c:v>
                </c:pt>
                <c:pt idx="91">
                  <c:v>10</c:v>
                </c:pt>
                <c:pt idx="92">
                  <c:v>9</c:v>
                </c:pt>
                <c:pt idx="93">
                  <c:v>1</c:v>
                </c:pt>
                <c:pt idx="94">
                  <c:v>11</c:v>
                </c:pt>
                <c:pt idx="95">
                  <c:v>8</c:v>
                </c:pt>
                <c:pt idx="96">
                  <c:v>5</c:v>
                </c:pt>
                <c:pt idx="97">
                  <c:v>7</c:v>
                </c:pt>
                <c:pt idx="98">
                  <c:v>11</c:v>
                </c:pt>
                <c:pt idx="99">
                  <c:v>10</c:v>
                </c:pt>
              </c:numCache>
            </c:numRef>
          </c:xVal>
          <c:yVal>
            <c:numRef>
              <c:f>'Sample 1'!$B$2:$B$105</c:f>
              <c:numCache>
                <c:formatCode>[$£-809]#,##0</c:formatCode>
                <c:ptCount val="104"/>
                <c:pt idx="0">
                  <c:v>9999</c:v>
                </c:pt>
                <c:pt idx="1">
                  <c:v>4295</c:v>
                </c:pt>
                <c:pt idx="2">
                  <c:v>19399</c:v>
                </c:pt>
                <c:pt idx="3">
                  <c:v>4985</c:v>
                </c:pt>
                <c:pt idx="4">
                  <c:v>3875</c:v>
                </c:pt>
                <c:pt idx="5">
                  <c:v>28000</c:v>
                </c:pt>
                <c:pt idx="6">
                  <c:v>32464</c:v>
                </c:pt>
                <c:pt idx="7">
                  <c:v>19250</c:v>
                </c:pt>
                <c:pt idx="8">
                  <c:v>6700</c:v>
                </c:pt>
                <c:pt idx="9">
                  <c:v>20475</c:v>
                </c:pt>
                <c:pt idx="10">
                  <c:v>12495</c:v>
                </c:pt>
                <c:pt idx="11">
                  <c:v>33434</c:v>
                </c:pt>
                <c:pt idx="12">
                  <c:v>6950</c:v>
                </c:pt>
                <c:pt idx="13">
                  <c:v>30295</c:v>
                </c:pt>
                <c:pt idx="14">
                  <c:v>12609</c:v>
                </c:pt>
                <c:pt idx="15">
                  <c:v>24750</c:v>
                </c:pt>
                <c:pt idx="16">
                  <c:v>7495</c:v>
                </c:pt>
                <c:pt idx="17">
                  <c:v>31176</c:v>
                </c:pt>
                <c:pt idx="18">
                  <c:v>16167</c:v>
                </c:pt>
                <c:pt idx="19">
                  <c:v>5000</c:v>
                </c:pt>
                <c:pt idx="20">
                  <c:v>11499</c:v>
                </c:pt>
                <c:pt idx="21">
                  <c:v>14249</c:v>
                </c:pt>
                <c:pt idx="22">
                  <c:v>10650</c:v>
                </c:pt>
                <c:pt idx="23">
                  <c:v>4985</c:v>
                </c:pt>
                <c:pt idx="24">
                  <c:v>3295</c:v>
                </c:pt>
                <c:pt idx="25">
                  <c:v>19400</c:v>
                </c:pt>
                <c:pt idx="26">
                  <c:v>13669</c:v>
                </c:pt>
                <c:pt idx="27">
                  <c:v>3495</c:v>
                </c:pt>
                <c:pt idx="28">
                  <c:v>10195</c:v>
                </c:pt>
                <c:pt idx="29">
                  <c:v>4985</c:v>
                </c:pt>
                <c:pt idx="30">
                  <c:v>17499</c:v>
                </c:pt>
                <c:pt idx="31">
                  <c:v>18799</c:v>
                </c:pt>
                <c:pt idx="32">
                  <c:v>9499</c:v>
                </c:pt>
                <c:pt idx="33">
                  <c:v>23457</c:v>
                </c:pt>
                <c:pt idx="34">
                  <c:v>14900</c:v>
                </c:pt>
                <c:pt idx="35">
                  <c:v>2995</c:v>
                </c:pt>
                <c:pt idx="36">
                  <c:v>31983</c:v>
                </c:pt>
                <c:pt idx="37">
                  <c:v>20499</c:v>
                </c:pt>
                <c:pt idx="38">
                  <c:v>27000</c:v>
                </c:pt>
                <c:pt idx="39">
                  <c:v>27899</c:v>
                </c:pt>
                <c:pt idx="40">
                  <c:v>13990</c:v>
                </c:pt>
                <c:pt idx="41">
                  <c:v>19999</c:v>
                </c:pt>
                <c:pt idx="42">
                  <c:v>13995</c:v>
                </c:pt>
                <c:pt idx="43">
                  <c:v>17000</c:v>
                </c:pt>
                <c:pt idx="44">
                  <c:v>2395</c:v>
                </c:pt>
                <c:pt idx="45">
                  <c:v>27000</c:v>
                </c:pt>
                <c:pt idx="46">
                  <c:v>2990</c:v>
                </c:pt>
                <c:pt idx="47">
                  <c:v>22000</c:v>
                </c:pt>
                <c:pt idx="48">
                  <c:v>15197</c:v>
                </c:pt>
                <c:pt idx="49">
                  <c:v>31999</c:v>
                </c:pt>
                <c:pt idx="50">
                  <c:v>19400</c:v>
                </c:pt>
                <c:pt idx="51">
                  <c:v>3500</c:v>
                </c:pt>
                <c:pt idx="52">
                  <c:v>19749</c:v>
                </c:pt>
                <c:pt idx="53">
                  <c:v>7995</c:v>
                </c:pt>
                <c:pt idx="54">
                  <c:v>12684</c:v>
                </c:pt>
                <c:pt idx="55">
                  <c:v>6700</c:v>
                </c:pt>
                <c:pt idx="56">
                  <c:v>14649</c:v>
                </c:pt>
                <c:pt idx="57">
                  <c:v>14950</c:v>
                </c:pt>
                <c:pt idx="58">
                  <c:v>21400</c:v>
                </c:pt>
                <c:pt idx="59">
                  <c:v>14750</c:v>
                </c:pt>
                <c:pt idx="60">
                  <c:v>20850</c:v>
                </c:pt>
                <c:pt idx="61">
                  <c:v>3495</c:v>
                </c:pt>
                <c:pt idx="62">
                  <c:v>15673</c:v>
                </c:pt>
                <c:pt idx="63">
                  <c:v>20850</c:v>
                </c:pt>
                <c:pt idx="64">
                  <c:v>24621</c:v>
                </c:pt>
                <c:pt idx="65">
                  <c:v>7990</c:v>
                </c:pt>
                <c:pt idx="66">
                  <c:v>3785</c:v>
                </c:pt>
                <c:pt idx="67">
                  <c:v>29473</c:v>
                </c:pt>
                <c:pt idx="68">
                  <c:v>14573</c:v>
                </c:pt>
                <c:pt idx="69">
                  <c:v>5990</c:v>
                </c:pt>
                <c:pt idx="70">
                  <c:v>11202</c:v>
                </c:pt>
                <c:pt idx="71">
                  <c:v>3995</c:v>
                </c:pt>
                <c:pt idx="72">
                  <c:v>32600</c:v>
                </c:pt>
                <c:pt idx="73">
                  <c:v>39814</c:v>
                </c:pt>
                <c:pt idx="74">
                  <c:v>15987</c:v>
                </c:pt>
                <c:pt idx="75">
                  <c:v>4795</c:v>
                </c:pt>
                <c:pt idx="76">
                  <c:v>16000</c:v>
                </c:pt>
                <c:pt idx="77">
                  <c:v>19499</c:v>
                </c:pt>
                <c:pt idx="78">
                  <c:v>4650</c:v>
                </c:pt>
                <c:pt idx="79">
                  <c:v>15008</c:v>
                </c:pt>
                <c:pt idx="80">
                  <c:v>15987</c:v>
                </c:pt>
                <c:pt idx="81">
                  <c:v>17499</c:v>
                </c:pt>
                <c:pt idx="82">
                  <c:v>4690</c:v>
                </c:pt>
                <c:pt idx="83">
                  <c:v>24999</c:v>
                </c:pt>
                <c:pt idx="84">
                  <c:v>14995</c:v>
                </c:pt>
                <c:pt idx="85">
                  <c:v>32399</c:v>
                </c:pt>
                <c:pt idx="86">
                  <c:v>37092</c:v>
                </c:pt>
                <c:pt idx="87">
                  <c:v>15987</c:v>
                </c:pt>
                <c:pt idx="88">
                  <c:v>39814</c:v>
                </c:pt>
                <c:pt idx="89">
                  <c:v>10000</c:v>
                </c:pt>
                <c:pt idx="90">
                  <c:v>15323</c:v>
                </c:pt>
                <c:pt idx="91">
                  <c:v>14995</c:v>
                </c:pt>
                <c:pt idx="92">
                  <c:v>9750</c:v>
                </c:pt>
                <c:pt idx="93">
                  <c:v>44845</c:v>
                </c:pt>
                <c:pt idx="94">
                  <c:v>8250</c:v>
                </c:pt>
                <c:pt idx="95">
                  <c:v>6500</c:v>
                </c:pt>
                <c:pt idx="96">
                  <c:v>11590</c:v>
                </c:pt>
                <c:pt idx="97">
                  <c:v>22247</c:v>
                </c:pt>
                <c:pt idx="98">
                  <c:v>4450</c:v>
                </c:pt>
                <c:pt idx="99">
                  <c:v>5000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5032-4811-A4A4-944CF3CFCFC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793994431"/>
        <c:axId val="793976127"/>
      </c:scatterChart>
      <c:valAx>
        <c:axId val="793994431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>
                    <a:solidFill>
                      <a:schemeClr val="tx1"/>
                    </a:solidFill>
                  </a:rPr>
                  <a:t>Age of Car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93976127"/>
        <c:crosses val="autoZero"/>
        <c:crossBetween val="midCat"/>
      </c:valAx>
      <c:valAx>
        <c:axId val="793976127"/>
        <c:scaling>
          <c:orientation val="minMax"/>
          <c:min val="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>
                    <a:solidFill>
                      <a:schemeClr val="tx1"/>
                    </a:solidFill>
                  </a:rPr>
                  <a:t>Price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[$£-809]#,##0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93994431"/>
        <c:crosses val="autoZero"/>
        <c:crossBetween val="midCat"/>
        <c:majorUnit val="10000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15240</xdr:colOff>
      <xdr:row>1</xdr:row>
      <xdr:rowOff>38100</xdr:rowOff>
    </xdr:from>
    <xdr:to>
      <xdr:col>17</xdr:col>
      <xdr:colOff>213360</xdr:colOff>
      <xdr:row>11</xdr:row>
      <xdr:rowOff>114300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B70005CA-1411-431C-986F-E04AB936D71B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Asus" refreshedDate="45952.735751736109" createdVersion="7" refreshedVersion="7" minRefreshableVersion="3" recordCount="100" xr:uid="{0335803F-CE45-4D98-8CC4-BBA904CDFBCE}">
  <cacheSource type="worksheet">
    <worksheetSource ref="A1:L101" sheet="Sample 1"/>
  </cacheSource>
  <cacheFields count="12">
    <cacheField name="No." numFmtId="0">
      <sharedItems containsSemiMixedTypes="0" containsString="0" containsNumber="1" containsInteger="1" minValue="6" maxValue="598"/>
    </cacheField>
    <cacheField name="Price" numFmtId="166">
      <sharedItems containsSemiMixedTypes="0" containsString="0" containsNumber="1" containsInteger="1" minValue="2395" maxValue="44845"/>
    </cacheField>
    <cacheField name="Mileage" numFmtId="0">
      <sharedItems containsSemiMixedTypes="0" containsString="0" containsNumber="1" containsInteger="1" minValue="1000" maxValue="178000" count="92">
        <n v="100439"/>
        <n v="160000"/>
        <n v="31738"/>
        <n v="85652"/>
        <n v="122000"/>
        <n v="4791"/>
        <n v="11383"/>
        <n v="88283"/>
        <n v="141424"/>
        <n v="44000"/>
        <n v="58000"/>
        <n v="11815"/>
        <n v="38000"/>
        <n v="1200"/>
        <n v="49652"/>
        <n v="59000"/>
        <n v="106287"/>
        <n v="19958"/>
        <n v="89714"/>
        <n v="130000"/>
        <n v="72500"/>
        <n v="68706"/>
        <n v="59592"/>
        <n v="81512"/>
        <n v="42511"/>
        <n v="30379"/>
        <n v="69688"/>
        <n v="72802"/>
        <n v="44700"/>
        <n v="34441"/>
        <n v="106322"/>
        <n v="52441"/>
        <n v="34562"/>
        <n v="112208"/>
        <n v="14748"/>
        <n v="25477"/>
        <n v="2780"/>
        <n v="20668"/>
        <n v="109000"/>
        <n v="30624"/>
        <n v="82500"/>
        <n v="13213"/>
        <n v="138633"/>
        <n v="119000"/>
        <n v="47992"/>
        <n v="54111"/>
        <n v="14936"/>
        <n v="112000"/>
        <n v="29842"/>
        <n v="76000"/>
        <n v="45570"/>
        <n v="111000"/>
        <n v="34528"/>
        <n v="104716"/>
        <n v="29130"/>
        <n v="69296"/>
        <n v="14468"/>
        <n v="120000"/>
        <n v="15673"/>
        <n v="25302"/>
        <n v="134000"/>
        <n v="82376"/>
        <n v="2944"/>
        <n v="22104"/>
        <n v="58123"/>
        <n v="68000"/>
        <n v="101701"/>
        <n v="12213"/>
        <n v="4577"/>
        <n v="40511"/>
        <n v="98000"/>
        <n v="28000"/>
        <n v="36144"/>
        <n v="54501"/>
        <n v="60244"/>
        <n v="32224"/>
        <n v="178000"/>
        <n v="44500"/>
        <n v="13750"/>
        <n v="12654"/>
        <n v="3406"/>
        <n v="93500"/>
        <n v="17292"/>
        <n v="93000"/>
        <n v="67500"/>
        <n v="1000"/>
        <n v="48550"/>
        <n v="45000"/>
        <n v="81627"/>
        <n v="41041"/>
        <n v="125000"/>
        <n v="126660"/>
      </sharedItems>
      <fieldGroup base="2">
        <rangePr autoStart="0" autoEnd="0" startNum="0" endNum="200000" groupInterval="10000"/>
        <groupItems count="22">
          <s v="&lt;0"/>
          <s v="0-9999"/>
          <s v="10000-19999"/>
          <s v="20000-29999"/>
          <s v="30000-39999"/>
          <s v="40000-49999"/>
          <s v="50000-59999"/>
          <s v="60000-69999"/>
          <s v="70000-79999"/>
          <s v="80000-89999"/>
          <s v="90000-99999"/>
          <s v="100000-109999"/>
          <s v="110000-119999"/>
          <s v="120000-129999"/>
          <s v="130000-139999"/>
          <s v="140000-149999"/>
          <s v="150000-159999"/>
          <s v="160000-169999"/>
          <s v="170000-179999"/>
          <s v="180000-189999"/>
          <s v="190000-200000"/>
          <s v="&gt;200000"/>
        </groupItems>
      </fieldGroup>
    </cacheField>
    <cacheField name="Fuel" numFmtId="0">
      <sharedItems/>
    </cacheField>
    <cacheField name="Gear" numFmtId="0">
      <sharedItems/>
    </cacheField>
    <cacheField name="Registration Year" numFmtId="0">
      <sharedItems containsSemiMixedTypes="0" containsString="0" containsNumber="1" containsInteger="1" minValue="2008" maxValue="2025"/>
    </cacheField>
    <cacheField name="Fuel Consumption(mpg)" numFmtId="0">
      <sharedItems/>
    </cacheField>
    <cacheField name="Drive Type" numFmtId="0">
      <sharedItems/>
    </cacheField>
    <cacheField name="Engine Size" numFmtId="0">
      <sharedItems containsBlank="1" count="6">
        <s v="2.0L"/>
        <s v="1.5L"/>
        <s v="1.4L"/>
        <s v="1.6L"/>
        <s v="1.0L"/>
        <m/>
      </sharedItems>
    </cacheField>
    <cacheField name="Color" numFmtId="0">
      <sharedItems/>
    </cacheField>
    <cacheField name="Pan-roof" numFmtId="0">
      <sharedItems/>
    </cacheField>
    <cacheField name="Owner" numFmtId="0">
      <sharedItems containsSemiMixedTypes="0" containsString="0" containsNumber="1" containsInteger="1" minValue="1" maxValue="8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00">
  <r>
    <n v="295"/>
    <n v="9999"/>
    <x v="0"/>
    <s v="Petrol"/>
    <s v="Automatic"/>
    <n v="2008"/>
    <s v="67.3mpg"/>
    <s v="Front Wheel drive"/>
    <x v="0"/>
    <s v="Grey"/>
    <s v="No"/>
    <n v="8"/>
  </r>
  <r>
    <n v="10"/>
    <n v="4295"/>
    <x v="1"/>
    <s v="Diesel"/>
    <s v="Automatic"/>
    <n v="2016"/>
    <s v="61.4mpg"/>
    <s v="Front Wheel drive"/>
    <x v="0"/>
    <s v="Black"/>
    <s v="No"/>
    <n v="5"/>
  </r>
  <r>
    <n v="14"/>
    <n v="19399"/>
    <x v="2"/>
    <s v="Petrol Hybrid"/>
    <s v="Automatic"/>
    <n v="2021"/>
    <s v="49.6mpg"/>
    <s v="Front Wheel drive"/>
    <x v="1"/>
    <s v="Black"/>
    <s v="No"/>
    <n v="1"/>
  </r>
  <r>
    <n v="17"/>
    <n v="4985"/>
    <x v="3"/>
    <s v="Petrol"/>
    <s v="Manual"/>
    <n v="2009"/>
    <s v="47.1mpg"/>
    <s v="Front Wheel drive"/>
    <x v="2"/>
    <s v="White"/>
    <s v="No"/>
    <n v="8"/>
  </r>
  <r>
    <n v="315"/>
    <n v="3875"/>
    <x v="4"/>
    <s v="Diesel"/>
    <s v="Manual"/>
    <n v="2009"/>
    <s v="58.9mpg"/>
    <s v="Front Wheel drive"/>
    <x v="3"/>
    <s v="Blue"/>
    <s v="No"/>
    <n v="8"/>
  </r>
  <r>
    <n v="24"/>
    <n v="28000"/>
    <x v="5"/>
    <s v="Plug-in Hybrid"/>
    <s v="Automatic"/>
    <n v="2025"/>
    <s v="282.5mpg"/>
    <s v="Front Wheel drive"/>
    <x v="1"/>
    <s v="White"/>
    <s v="No"/>
    <n v="1"/>
  </r>
  <r>
    <n v="28"/>
    <n v="32464"/>
    <x v="6"/>
    <s v="Petrol"/>
    <s v="Automatic"/>
    <n v="2023"/>
    <s v="37mpg"/>
    <s v="Four Wheel Drive"/>
    <x v="0"/>
    <s v="Blue"/>
    <s v="No"/>
    <n v="1"/>
  </r>
  <r>
    <n v="46"/>
    <n v="19250"/>
    <x v="7"/>
    <s v="Petrol"/>
    <s v="Manual"/>
    <n v="2021"/>
    <s v="38.2mpg"/>
    <s v="Front Wheel drive"/>
    <x v="0"/>
    <s v="White"/>
    <s v="Yes"/>
    <n v="1"/>
  </r>
  <r>
    <n v="391"/>
    <n v="6700"/>
    <x v="8"/>
    <s v="Petrol"/>
    <s v="Manual"/>
    <n v="2009"/>
    <s v="45.6mpg"/>
    <s v="Front Wheel drive"/>
    <x v="2"/>
    <s v="Grey"/>
    <s v="No"/>
    <n v="4"/>
  </r>
  <r>
    <n v="64"/>
    <n v="20475"/>
    <x v="9"/>
    <s v="Petrol"/>
    <s v="Automatic"/>
    <n v="2017"/>
    <s v="39.2mpg"/>
    <s v="Four Wheel Drive"/>
    <x v="0"/>
    <s v="White"/>
    <s v="No"/>
    <n v="2"/>
  </r>
  <r>
    <n v="72"/>
    <n v="12495"/>
    <x v="10"/>
    <s v="Diesel"/>
    <s v="Automatic"/>
    <n v="2019"/>
    <s v="52.3mpg"/>
    <s v="Front Wheel drive"/>
    <x v="0"/>
    <s v="Blue"/>
    <s v="No"/>
    <n v="4"/>
  </r>
  <r>
    <n v="78"/>
    <n v="33434"/>
    <x v="11"/>
    <s v="Petrol"/>
    <s v="Automatic"/>
    <n v="2023"/>
    <s v="37mpg"/>
    <s v="Four Wheel Drive"/>
    <x v="0"/>
    <s v="Black"/>
    <s v="No"/>
    <n v="1"/>
  </r>
  <r>
    <n v="99"/>
    <n v="6950"/>
    <x v="12"/>
    <s v="Petrol"/>
    <s v="Manual"/>
    <n v="2017"/>
    <s v="54.3mpg"/>
    <s v="Front Wheel drive"/>
    <x v="2"/>
    <s v="Silver"/>
    <s v="No"/>
    <n v="7"/>
  </r>
  <r>
    <n v="102"/>
    <n v="30295"/>
    <x v="13"/>
    <s v="Plug-in Hybrid"/>
    <s v="Automatic"/>
    <n v="2024"/>
    <s v="256.8mpg"/>
    <s v="Front Wheel drive"/>
    <x v="1"/>
    <s v="Blue"/>
    <s v="No"/>
    <n v="1"/>
  </r>
  <r>
    <n v="107"/>
    <n v="12609"/>
    <x v="14"/>
    <s v="Diesel"/>
    <s v="Manual"/>
    <n v="2019"/>
    <s v="55.4mpg"/>
    <s v="Front Wheel drive"/>
    <x v="3"/>
    <s v="Black"/>
    <s v="No"/>
    <n v="2"/>
  </r>
  <r>
    <n v="116"/>
    <n v="24750"/>
    <x v="15"/>
    <s v="Petrol"/>
    <s v="Automatic"/>
    <n v="2021"/>
    <s v="38.7mpg"/>
    <s v="Front Wheel drive"/>
    <x v="0"/>
    <s v="Grey"/>
    <s v="Yes"/>
    <n v="3"/>
  </r>
  <r>
    <n v="120"/>
    <n v="7495"/>
    <x v="16"/>
    <s v="Diesel"/>
    <s v="Automatic"/>
    <n v="2018"/>
    <s v="54.3mpg"/>
    <s v="Front Wheel drive"/>
    <x v="3"/>
    <s v="Yellow"/>
    <s v="No"/>
    <n v="3"/>
  </r>
  <r>
    <n v="136"/>
    <n v="31176"/>
    <x v="17"/>
    <s v="Petrol"/>
    <s v="Automatic"/>
    <n v="2023"/>
    <s v="37mpg"/>
    <s v="Four Wheel Drive"/>
    <x v="0"/>
    <s v="Black"/>
    <s v="No"/>
    <n v="1"/>
  </r>
  <r>
    <n v="151"/>
    <n v="16167"/>
    <x v="18"/>
    <s v="Diesel"/>
    <s v="Automatic"/>
    <n v="2022"/>
    <s v="62.8mpg"/>
    <s v="Front Wheel drive"/>
    <x v="0"/>
    <s v="Black"/>
    <s v="Yes"/>
    <n v="2"/>
  </r>
  <r>
    <n v="155"/>
    <n v="5000"/>
    <x v="19"/>
    <s v="Diesel"/>
    <s v="Manual"/>
    <n v="2016"/>
    <s v="68.9mpg"/>
    <s v="Front Wheel drive"/>
    <x v="3"/>
    <s v="Red"/>
    <s v="No"/>
    <n v="3"/>
  </r>
  <r>
    <n v="161"/>
    <n v="11499"/>
    <x v="20"/>
    <s v="Petrol"/>
    <s v="Manual"/>
    <n v="2021"/>
    <s v="50.4mpg"/>
    <s v="Front Wheel drive"/>
    <x v="3"/>
    <s v="Black"/>
    <s v="No"/>
    <n v="2"/>
  </r>
  <r>
    <n v="169"/>
    <n v="14249"/>
    <x v="21"/>
    <s v="Petrol"/>
    <s v="Manual"/>
    <n v="2022"/>
    <s v="67.3mpg"/>
    <s v="Front Wheel drive"/>
    <x v="0"/>
    <s v="Grey"/>
    <s v="No"/>
    <n v="1"/>
  </r>
  <r>
    <n v="175"/>
    <n v="10650"/>
    <x v="22"/>
    <s v="Diesel"/>
    <s v="Automatic"/>
    <n v="2016"/>
    <s v="70.6mpg"/>
    <s v="Front Wheel drive"/>
    <x v="3"/>
    <s v="Silver"/>
    <s v="Yes"/>
    <n v="3"/>
  </r>
  <r>
    <n v="413"/>
    <n v="4985"/>
    <x v="3"/>
    <s v="Petrol"/>
    <s v="Manual"/>
    <n v="2009"/>
    <s v="47.1mpg"/>
    <s v="Front Wheel drive"/>
    <x v="2"/>
    <s v="White"/>
    <s v="No"/>
    <n v="6"/>
  </r>
  <r>
    <n v="431"/>
    <n v="3295"/>
    <x v="23"/>
    <s v="Petrol"/>
    <s v="Manual"/>
    <n v="2009"/>
    <s v="35.8mpg"/>
    <s v="Front Wheel drive"/>
    <x v="0"/>
    <s v="Grey"/>
    <s v="No"/>
    <n v="5"/>
  </r>
  <r>
    <n v="182"/>
    <n v="19400"/>
    <x v="24"/>
    <s v="Petrol Hybrid"/>
    <s v="Automatic"/>
    <n v="2023"/>
    <s v="49.6mpg"/>
    <s v="Front Wheel drive"/>
    <x v="1"/>
    <s v="Black"/>
    <s v="No"/>
    <n v="1"/>
  </r>
  <r>
    <n v="183"/>
    <n v="13669"/>
    <x v="25"/>
    <s v="Diesel"/>
    <s v="Manual"/>
    <n v="2019"/>
    <s v="57.6mpg"/>
    <s v="Front Wheel drive"/>
    <x v="3"/>
    <s v="Silver"/>
    <s v="No"/>
    <n v="2"/>
  </r>
  <r>
    <n v="570"/>
    <n v="3495"/>
    <x v="26"/>
    <s v="Diesel"/>
    <s v="Manual"/>
    <n v="2009"/>
    <s v="62.8mpg"/>
    <s v="Front Wheel drive"/>
    <x v="3"/>
    <s v="Blue"/>
    <s v="No"/>
    <n v="8"/>
  </r>
  <r>
    <n v="195"/>
    <n v="10195"/>
    <x v="27"/>
    <s v="Plug-in Hybrid"/>
    <s v="Automatic"/>
    <n v="2016"/>
    <s v="166mpg"/>
    <s v="Front Wheel drive"/>
    <x v="2"/>
    <s v="White"/>
    <s v="No"/>
    <n v="2"/>
  </r>
  <r>
    <n v="595"/>
    <n v="4985"/>
    <x v="3"/>
    <s v="Petrol"/>
    <s v="Automatic"/>
    <n v="2009"/>
    <s v="47.1mpg"/>
    <s v="Front Wheel drive"/>
    <x v="2"/>
    <s v="White"/>
    <s v="No"/>
    <n v="5"/>
  </r>
  <r>
    <n v="227"/>
    <n v="17499"/>
    <x v="28"/>
    <s v="Petrol"/>
    <s v="Automatic"/>
    <n v="2016"/>
    <s v="40.35mpg"/>
    <s v="Front Wheel drive"/>
    <x v="0"/>
    <s v="Black"/>
    <s v="No"/>
    <n v="2"/>
  </r>
  <r>
    <n v="238"/>
    <n v="18799"/>
    <x v="29"/>
    <s v="Petrol Hybrid"/>
    <s v="Automatic"/>
    <n v="2020"/>
    <s v="49.6mpg"/>
    <s v="Front Wheel drive"/>
    <x v="1"/>
    <s v="Black"/>
    <s v="No"/>
    <n v="1"/>
  </r>
  <r>
    <n v="243"/>
    <n v="9499"/>
    <x v="30"/>
    <s v="Diesel"/>
    <s v="Automatic"/>
    <n v="2017"/>
    <s v="72.4mpg"/>
    <s v="Front Wheel drive"/>
    <x v="3"/>
    <s v="Grey"/>
    <s v="No"/>
    <n v="3"/>
  </r>
  <r>
    <n v="246"/>
    <n v="23457"/>
    <x v="31"/>
    <s v="Petrol"/>
    <s v="Automatic"/>
    <n v="2021"/>
    <s v="38.7mpg"/>
    <s v="Front Wheel drive"/>
    <x v="0"/>
    <s v="Black"/>
    <s v="No"/>
    <n v="2"/>
  </r>
  <r>
    <n v="247"/>
    <n v="14900"/>
    <x v="32"/>
    <s v="Petrol"/>
    <s v="Manual"/>
    <n v="2021"/>
    <s v="51.4mpg"/>
    <s v="Front Wheel drive"/>
    <x v="1"/>
    <s v="White"/>
    <s v="No"/>
    <n v="2"/>
  </r>
  <r>
    <n v="185"/>
    <n v="2995"/>
    <x v="33"/>
    <s v="Petrol"/>
    <s v="Manual"/>
    <n v="2010"/>
    <s v="44.8mpg"/>
    <s v="Front Wheel drive"/>
    <x v="2"/>
    <s v="Silver"/>
    <s v="No"/>
    <n v="8"/>
  </r>
  <r>
    <n v="255"/>
    <n v="31983"/>
    <x v="34"/>
    <s v="Petrol"/>
    <s v="Automatic"/>
    <n v="2023"/>
    <s v="37mpg"/>
    <s v="Four Wheel Drive"/>
    <x v="0"/>
    <s v="Black"/>
    <s v="No"/>
    <n v="1"/>
  </r>
  <r>
    <n v="256"/>
    <n v="20499"/>
    <x v="35"/>
    <s v="Plug-in Hybrid"/>
    <s v="Automatic"/>
    <n v="2023"/>
    <s v="235.4mpg"/>
    <s v="Front Wheel drive"/>
    <x v="2"/>
    <s v="White"/>
    <s v="No"/>
    <n v="1"/>
  </r>
  <r>
    <n v="259"/>
    <n v="27000"/>
    <x v="36"/>
    <s v="Petrol"/>
    <s v="Manual"/>
    <n v="2025"/>
    <s v="50.4mpg"/>
    <s v="Front Wheel drive"/>
    <x v="1"/>
    <s v="Grey"/>
    <s v="No"/>
    <n v="1"/>
  </r>
  <r>
    <n v="260"/>
    <n v="27899"/>
    <x v="37"/>
    <s v="Petrol"/>
    <s v="Automatic"/>
    <n v="2023"/>
    <s v="40mpg"/>
    <s v="Front Wheel drive"/>
    <x v="0"/>
    <s v="White"/>
    <s v="No"/>
    <n v="1"/>
  </r>
  <r>
    <n v="265"/>
    <n v="13990"/>
    <x v="38"/>
    <s v="Petrol"/>
    <s v="Automatic"/>
    <n v="2017"/>
    <s v="44.8mpg"/>
    <s v="Front Wheel drive"/>
    <x v="0"/>
    <s v="Silver"/>
    <s v="Yes"/>
    <n v="6"/>
  </r>
  <r>
    <n v="271"/>
    <n v="19999"/>
    <x v="39"/>
    <s v="Petrol"/>
    <s v="Manual"/>
    <n v="2022"/>
    <s v="49.6mpg"/>
    <s v="Front Wheel drive"/>
    <x v="1"/>
    <s v="Black"/>
    <s v="No"/>
    <n v="1"/>
  </r>
  <r>
    <n v="272"/>
    <n v="13995"/>
    <x v="40"/>
    <s v="Petrol"/>
    <s v="Manual"/>
    <n v="2017"/>
    <s v="44.1mpg"/>
    <s v="Front Wheel drive"/>
    <x v="0"/>
    <s v="Black"/>
    <s v="Yes"/>
    <n v="2"/>
  </r>
  <r>
    <n v="277"/>
    <n v="17000"/>
    <x v="41"/>
    <s v="Petrol"/>
    <s v="Manual"/>
    <n v="2023"/>
    <s v="54.3mpg"/>
    <s v="Front Wheel drive"/>
    <x v="1"/>
    <s v="Black"/>
    <s v="No"/>
    <n v="1"/>
  </r>
  <r>
    <n v="338"/>
    <n v="2395"/>
    <x v="42"/>
    <s v="Petrol"/>
    <s v="Manual"/>
    <n v="2010"/>
    <s v="45.6mpg"/>
    <s v="Front Wheel drive"/>
    <x v="2"/>
    <s v="Grey"/>
    <s v="No"/>
    <n v="5"/>
  </r>
  <r>
    <n v="294"/>
    <n v="27000"/>
    <x v="36"/>
    <s v="Petrol"/>
    <s v="Manual"/>
    <n v="2025"/>
    <s v="50.4mpg"/>
    <s v="Front Wheel drive"/>
    <x v="1"/>
    <s v="Grey"/>
    <s v="No"/>
    <n v="1"/>
  </r>
  <r>
    <n v="178"/>
    <n v="2990"/>
    <x v="43"/>
    <s v="Diesel"/>
    <s v="Automatic"/>
    <n v="2010"/>
    <s v="61.4mpg"/>
    <s v="Front Wheel drive"/>
    <x v="2"/>
    <s v="Black"/>
    <s v="No"/>
    <n v="8"/>
  </r>
  <r>
    <n v="298"/>
    <n v="22000"/>
    <x v="44"/>
    <s v="Petrol"/>
    <s v="Automatic"/>
    <n v="2021"/>
    <s v="38.7mpg"/>
    <s v="Front Wheel drive"/>
    <x v="0"/>
    <s v="Black"/>
    <s v="No"/>
    <n v="2"/>
  </r>
  <r>
    <n v="302"/>
    <n v="15197"/>
    <x v="45"/>
    <s v="Diesel"/>
    <s v="Manual"/>
    <n v="2021"/>
    <s v="61.4mpg"/>
    <s v="Front Wheel drive"/>
    <x v="0"/>
    <s v="Blue"/>
    <s v="No"/>
    <n v="1"/>
  </r>
  <r>
    <n v="304"/>
    <n v="31999"/>
    <x v="46"/>
    <s v="Petrol"/>
    <s v="Automatic"/>
    <n v="2023"/>
    <s v="37mpg"/>
    <s v="Four Wheel Drive"/>
    <x v="1"/>
    <s v="White"/>
    <s v="No"/>
    <n v="1"/>
  </r>
  <r>
    <n v="308"/>
    <n v="19400"/>
    <x v="24"/>
    <s v="Petrol Hybrid"/>
    <s v="Automatic"/>
    <n v="2023"/>
    <s v="54.3mpg"/>
    <s v="Front Wheel drive"/>
    <x v="1"/>
    <s v="Black"/>
    <s v="No"/>
    <n v="1"/>
  </r>
  <r>
    <n v="58"/>
    <n v="3500"/>
    <x v="47"/>
    <s v="Diesel"/>
    <s v="Manual"/>
    <n v="2012"/>
    <s v="62.8mpg"/>
    <s v="Front Wheel drive"/>
    <x v="3"/>
    <s v="White"/>
    <s v="No"/>
    <n v="8"/>
  </r>
  <r>
    <n v="317"/>
    <n v="19749"/>
    <x v="48"/>
    <s v="Petrol"/>
    <s v="Manual"/>
    <n v="2022"/>
    <s v="51.4mpg"/>
    <s v="Front Wheel drive"/>
    <x v="1"/>
    <s v="White"/>
    <s v="No"/>
    <n v="1"/>
  </r>
  <r>
    <n v="320"/>
    <n v="7995"/>
    <x v="49"/>
    <s v="Diesel"/>
    <s v="Automatic"/>
    <n v="2016"/>
    <s v="72.43mpg"/>
    <s v="Front Wheel drive"/>
    <x v="3"/>
    <s v="Black"/>
    <s v="No"/>
    <n v="3"/>
  </r>
  <r>
    <n v="321"/>
    <n v="12684"/>
    <x v="50"/>
    <s v="Petrol"/>
    <s v="Manual"/>
    <n v="2019"/>
    <s v="50.4mpg"/>
    <s v="Front Wheel drive"/>
    <x v="1"/>
    <s v="Red"/>
    <s v="No"/>
    <n v="2"/>
  </r>
  <r>
    <n v="176"/>
    <n v="6700"/>
    <x v="51"/>
    <s v="Petrol"/>
    <s v="Automatic"/>
    <n v="2012"/>
    <s v="70.6mpg"/>
    <s v="Front Wheel drive"/>
    <x v="2"/>
    <s v="Silver"/>
    <s v="No"/>
    <n v="4"/>
  </r>
  <r>
    <n v="343"/>
    <n v="14649"/>
    <x v="52"/>
    <s v="Petrol"/>
    <s v="Automatic"/>
    <n v="2019"/>
    <s v="45.6mpg"/>
    <s v="Front Wheel drive"/>
    <x v="4"/>
    <s v="Red"/>
    <s v="No"/>
    <n v="3"/>
  </r>
  <r>
    <n v="344"/>
    <n v="14950"/>
    <x v="53"/>
    <s v="Petrol"/>
    <s v="Automatic"/>
    <n v="2018"/>
    <s v="40.4mpg"/>
    <s v="Four Wheel Drive"/>
    <x v="0"/>
    <s v="Blue"/>
    <s v="Yes"/>
    <n v="2"/>
  </r>
  <r>
    <n v="353"/>
    <n v="21400"/>
    <x v="54"/>
    <s v="Petrol"/>
    <s v="Manual"/>
    <n v="2024"/>
    <s v="49.6mpg"/>
    <s v="Front Wheel drive"/>
    <x v="1"/>
    <s v="Silver"/>
    <s v="No"/>
    <n v="1"/>
  </r>
  <r>
    <n v="363"/>
    <n v="14750"/>
    <x v="55"/>
    <s v="Diesel"/>
    <s v="Automatic"/>
    <n v="2018"/>
    <s v="52.3mpg"/>
    <s v="Front Wheel drive"/>
    <x v="0"/>
    <s v="Blue"/>
    <s v="No"/>
    <n v="1"/>
  </r>
  <r>
    <n v="364"/>
    <n v="20850"/>
    <x v="56"/>
    <s v="Petrol"/>
    <s v="Manual"/>
    <n v="2024"/>
    <s v="50.4mpg"/>
    <s v="Front Wheel drive"/>
    <x v="1"/>
    <s v="Blue"/>
    <s v="No"/>
    <n v="1"/>
  </r>
  <r>
    <n v="6"/>
    <n v="3495"/>
    <x v="57"/>
    <s v="Diesel"/>
    <s v="Manual"/>
    <n v="2013"/>
    <s v="74.3mpg"/>
    <s v="Front Wheel drive"/>
    <x v="3"/>
    <s v="Silver"/>
    <s v="No"/>
    <n v="4"/>
  </r>
  <r>
    <n v="373"/>
    <n v="15673"/>
    <x v="58"/>
    <s v="Petrol"/>
    <s v="Manual"/>
    <n v="2022"/>
    <s v="54.3mpg"/>
    <s v="Front Wheel drive"/>
    <x v="4"/>
    <s v="Black"/>
    <s v="No"/>
    <n v="1"/>
  </r>
  <r>
    <n v="385"/>
    <n v="20850"/>
    <x v="56"/>
    <s v="Petrol"/>
    <s v="Manual"/>
    <n v="2024"/>
    <s v="50.4mpg"/>
    <s v="Front Wheel drive"/>
    <x v="1"/>
    <s v="Blue"/>
    <s v="No"/>
    <n v="1"/>
  </r>
  <r>
    <n v="386"/>
    <n v="24621"/>
    <x v="59"/>
    <s v="Diesel"/>
    <s v="Automatic"/>
    <n v="2021"/>
    <s v="54.3mpg"/>
    <s v="Front Wheel drive"/>
    <x v="5"/>
    <s v="White"/>
    <s v="No"/>
    <n v="1"/>
  </r>
  <r>
    <n v="390"/>
    <n v="7990"/>
    <x v="60"/>
    <s v="Plug-in Hybrid"/>
    <s v="Automatic"/>
    <n v="2017"/>
    <s v="156.9mpg"/>
    <s v="Front Wheel drive"/>
    <x v="2"/>
    <s v="White"/>
    <s v="No"/>
    <n v="1"/>
  </r>
  <r>
    <n v="283"/>
    <n v="3785"/>
    <x v="61"/>
    <s v="Diesel"/>
    <s v="Manual"/>
    <n v="2013"/>
    <s v="68.9mpg"/>
    <s v="Front Wheel drive"/>
    <x v="0"/>
    <s v="Silver"/>
    <s v="No"/>
    <n v="5"/>
  </r>
  <r>
    <n v="397"/>
    <n v="29473"/>
    <x v="62"/>
    <s v="Plug-in Hybrid"/>
    <s v="Automatic"/>
    <n v="2025"/>
    <s v="282.5mpg"/>
    <s v="Front Wheel drive"/>
    <x v="1"/>
    <s v="Silver"/>
    <s v="No"/>
    <n v="1"/>
  </r>
  <r>
    <n v="399"/>
    <n v="14573"/>
    <x v="63"/>
    <s v="Petrol"/>
    <s v="Manual"/>
    <n v="2021"/>
    <s v="53.3mpg"/>
    <s v="Front Wheel drive"/>
    <x v="4"/>
    <s v="White"/>
    <s v="No"/>
    <n v="2"/>
  </r>
  <r>
    <n v="447"/>
    <n v="5990"/>
    <x v="64"/>
    <s v="Diesel"/>
    <s v="Manual"/>
    <n v="2013"/>
    <s v="62.8mpg"/>
    <s v="Front Wheel drive"/>
    <x v="0"/>
    <s v="White"/>
    <s v="No"/>
    <n v="5"/>
  </r>
  <r>
    <n v="429"/>
    <n v="11202"/>
    <x v="65"/>
    <s v="Petrol Hybrid"/>
    <s v="Automatic"/>
    <n v="2019"/>
    <s v="156.9mpg"/>
    <s v="Front Wheel drive"/>
    <x v="1"/>
    <s v="White"/>
    <s v="No"/>
    <n v="3"/>
  </r>
  <r>
    <n v="456"/>
    <n v="3995"/>
    <x v="66"/>
    <s v="Diesel"/>
    <s v="Manual"/>
    <n v="2013"/>
    <s v="68.9mpg"/>
    <s v="Front Wheel drive"/>
    <x v="0"/>
    <s v="Blue"/>
    <s v="No"/>
    <n v="5"/>
  </r>
  <r>
    <n v="434"/>
    <n v="32600"/>
    <x v="67"/>
    <s v="Petrol"/>
    <s v="Automatic"/>
    <n v="2023"/>
    <s v="37mpg"/>
    <s v="Four Wheel Drive"/>
    <x v="0"/>
    <s v="White"/>
    <s v="No"/>
    <n v="1"/>
  </r>
  <r>
    <n v="435"/>
    <n v="39814"/>
    <x v="68"/>
    <s v="Petrol"/>
    <s v="Automatic"/>
    <n v="2025"/>
    <s v="37mpg"/>
    <s v="Four Wheel Drive"/>
    <x v="0"/>
    <s v="Black"/>
    <s v="No"/>
    <n v="1"/>
  </r>
  <r>
    <n v="436"/>
    <n v="15987"/>
    <x v="69"/>
    <s v="Petrol"/>
    <s v="Manual"/>
    <n v="2022"/>
    <s v="52.3mpg"/>
    <s v="Front Wheel drive"/>
    <x v="4"/>
    <s v="Silver"/>
    <s v="No"/>
    <n v="2"/>
  </r>
  <r>
    <n v="16"/>
    <n v="4795"/>
    <x v="70"/>
    <s v="Diesel"/>
    <s v="Manual"/>
    <n v="2014"/>
    <s v="74.3mpg"/>
    <s v="Front Wheel drive"/>
    <x v="3"/>
    <s v="Blue"/>
    <s v="No"/>
    <n v="3"/>
  </r>
  <r>
    <n v="453"/>
    <n v="16000"/>
    <x v="71"/>
    <s v="Plug-in Hybrid"/>
    <s v="Automatic"/>
    <n v="2018"/>
    <s v="156.9mpg"/>
    <s v="Front Wheel drive"/>
    <x v="2"/>
    <s v="Yellow"/>
    <s v="No"/>
    <n v="1"/>
  </r>
  <r>
    <n v="455"/>
    <n v="19499"/>
    <x v="72"/>
    <s v="Petrol Hybrid"/>
    <s v="Automatic"/>
    <n v="2020"/>
    <s v="49.6mpg"/>
    <s v="Front Wheel drive"/>
    <x v="1"/>
    <s v="Black"/>
    <s v="No"/>
    <n v="4"/>
  </r>
  <r>
    <n v="251"/>
    <n v="4650"/>
    <x v="73"/>
    <s v="Diesel"/>
    <s v="Manual"/>
    <n v="2014"/>
    <s v="74.3mpg"/>
    <s v="Front Wheel drive"/>
    <x v="3"/>
    <s v="Black"/>
    <s v="No"/>
    <n v="2"/>
  </r>
  <r>
    <n v="457"/>
    <n v="15008"/>
    <x v="74"/>
    <s v="Petrol"/>
    <s v="Manual"/>
    <n v="2022"/>
    <s v="50.4mpg"/>
    <s v="Front Wheel drive"/>
    <x v="1"/>
    <s v="Silver"/>
    <s v="No"/>
    <n v="1"/>
  </r>
  <r>
    <n v="459"/>
    <n v="15987"/>
    <x v="69"/>
    <s v="Petrol"/>
    <s v="Manual"/>
    <n v="2022"/>
    <s v="52.3mpg"/>
    <s v="Front Wheel drive"/>
    <x v="4"/>
    <s v="Silver"/>
    <s v="No"/>
    <n v="2"/>
  </r>
  <r>
    <n v="489"/>
    <n v="17499"/>
    <x v="75"/>
    <s v="Petrol"/>
    <s v="Automatic"/>
    <n v="2020"/>
    <s v="39.8mpg"/>
    <s v="Front Wheel drive"/>
    <x v="0"/>
    <s v="Blue"/>
    <s v="No"/>
    <n v="2"/>
  </r>
  <r>
    <n v="217"/>
    <n v="4690"/>
    <x v="76"/>
    <s v="Diesel"/>
    <s v="Automatic"/>
    <n v="2015"/>
    <s v="61.4mpg"/>
    <s v="Front Wheel drive"/>
    <x v="0"/>
    <s v="Black"/>
    <s v="No"/>
    <n v="6"/>
  </r>
  <r>
    <n v="503"/>
    <n v="24999"/>
    <x v="77"/>
    <s v="Petrol"/>
    <s v="Automatic"/>
    <n v="2019"/>
    <s v="32.8mpg"/>
    <s v="Four Wheel Drive"/>
    <x v="0"/>
    <s v="Blue"/>
    <s v="No"/>
    <n v="2"/>
  </r>
  <r>
    <n v="508"/>
    <n v="14995"/>
    <x v="78"/>
    <s v="Plug-in Hybrid"/>
    <s v="Automatic"/>
    <n v="2020"/>
    <s v="141.2mpg"/>
    <s v="Front Wheel drive"/>
    <x v="2"/>
    <s v="Blue"/>
    <s v="No"/>
    <n v="2"/>
  </r>
  <r>
    <n v="509"/>
    <n v="32399"/>
    <x v="79"/>
    <s v="Petrol"/>
    <s v="Automatic"/>
    <n v="2022"/>
    <s v="37mpg"/>
    <s v="Four Wheel Drive"/>
    <x v="0"/>
    <s v="White"/>
    <s v="No"/>
    <n v="1"/>
  </r>
  <r>
    <n v="510"/>
    <n v="37092"/>
    <x v="80"/>
    <s v="Petrol"/>
    <s v="Automatic"/>
    <n v="2025"/>
    <s v="39.8mpg"/>
    <s v="Front Wheel drive"/>
    <x v="0"/>
    <s v="Black"/>
    <s v="No"/>
    <n v="1"/>
  </r>
  <r>
    <n v="512"/>
    <n v="15987"/>
    <x v="69"/>
    <s v="Petrol"/>
    <s v="Manual"/>
    <n v="2022"/>
    <s v="52.3mpg"/>
    <s v="Front Wheel drive"/>
    <x v="4"/>
    <s v="Silver"/>
    <s v="No"/>
    <n v="1"/>
  </r>
  <r>
    <n v="519"/>
    <n v="39814"/>
    <x v="68"/>
    <s v="Petrol"/>
    <s v="Automatic"/>
    <n v="2025"/>
    <s v="37mpg"/>
    <s v="Four Wheel Drive"/>
    <x v="0"/>
    <s v="Black"/>
    <s v="No"/>
    <n v="1"/>
  </r>
  <r>
    <n v="526"/>
    <n v="10000"/>
    <x v="81"/>
    <s v="Petrol"/>
    <s v="Automatic"/>
    <n v="2018"/>
    <s v="56.5mpg"/>
    <s v="Front Wheel drive"/>
    <x v="1"/>
    <s v="Black"/>
    <s v="Yes"/>
    <n v="4"/>
  </r>
  <r>
    <n v="532"/>
    <n v="15323"/>
    <x v="82"/>
    <s v="Petrol"/>
    <s v="Manual"/>
    <n v="2021"/>
    <s v="54.3mpg"/>
    <s v="Front Wheel drive"/>
    <x v="4"/>
    <s v="Black"/>
    <s v="No"/>
    <n v="2"/>
  </r>
  <r>
    <n v="545"/>
    <n v="14995"/>
    <x v="83"/>
    <s v="Petrol"/>
    <s v="Automatic"/>
    <n v="2016"/>
    <s v="40.9mpg"/>
    <s v="Four Wheel Drive"/>
    <x v="1"/>
    <s v="Blue"/>
    <s v="Yes"/>
    <n v="2"/>
  </r>
  <r>
    <n v="560"/>
    <n v="9750"/>
    <x v="84"/>
    <s v="Petrol"/>
    <s v="Automatic"/>
    <n v="2017"/>
    <s v="55.4mpg"/>
    <s v="Front Wheel drive"/>
    <x v="2"/>
    <s v="Blue"/>
    <s v="No"/>
    <n v="4"/>
  </r>
  <r>
    <n v="566"/>
    <n v="44845"/>
    <x v="85"/>
    <s v="Plug-in Hybrid"/>
    <s v="Automatic"/>
    <n v="2025"/>
    <s v="38.7mpg"/>
    <s v="Front Wheel drive"/>
    <x v="0"/>
    <s v="Black"/>
    <s v="Yes"/>
    <n v="1"/>
  </r>
  <r>
    <n v="372"/>
    <n v="8250"/>
    <x v="86"/>
    <s v="Diesel"/>
    <s v="Manual"/>
    <n v="2015"/>
    <s v="64.2mpg"/>
    <s v="Front Wheel drive"/>
    <x v="0"/>
    <s v="Black"/>
    <s v="No"/>
    <n v="5"/>
  </r>
  <r>
    <n v="585"/>
    <n v="6500"/>
    <x v="87"/>
    <s v="Petrol"/>
    <s v="Manual"/>
    <n v="2018"/>
    <s v="54.3mpg"/>
    <s v="Front Wheel drive"/>
    <x v="2"/>
    <s v="Blue"/>
    <s v="No"/>
    <n v="4"/>
  </r>
  <r>
    <n v="589"/>
    <n v="11590"/>
    <x v="88"/>
    <s v="Diesel"/>
    <s v="Manual"/>
    <n v="2021"/>
    <s v="62.8mpg"/>
    <s v="Front Wheel drive"/>
    <x v="0"/>
    <s v="Grey"/>
    <s v="No"/>
    <n v="4"/>
  </r>
  <r>
    <n v="594"/>
    <n v="22247"/>
    <x v="89"/>
    <s v="Petrol"/>
    <s v="Automatic"/>
    <n v="2019"/>
    <s v="32.8mpg"/>
    <s v="Four Wheel Drive"/>
    <x v="0"/>
    <s v="Black"/>
    <s v="No"/>
    <n v="1"/>
  </r>
  <r>
    <n v="502"/>
    <n v="4450"/>
    <x v="90"/>
    <s v="Diesel"/>
    <s v="Manual"/>
    <n v="2015"/>
    <s v="68.9mpg"/>
    <s v="Front Wheel drive"/>
    <x v="0"/>
    <s v="Black"/>
    <s v="No"/>
    <n v="3"/>
  </r>
  <r>
    <n v="598"/>
    <n v="5000"/>
    <x v="91"/>
    <s v="Diesel"/>
    <s v="Manual"/>
    <n v="2016"/>
    <s v="67.3mpg"/>
    <s v="Front Wheel drive"/>
    <x v="0"/>
    <s v="White"/>
    <s v="No"/>
    <n v="3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F4204747-A648-4496-8BA3-901C6C356B72}" name="PivotTable4" cacheId="0" applyNumberFormats="0" applyBorderFormats="0" applyFontFormats="0" applyPatternFormats="0" applyAlignmentFormats="0" applyWidthHeightFormats="1" dataCaption="Values" updatedVersion="7" minRefreshableVersion="3" useAutoFormatting="1" itemPrintTitles="1" createdVersion="7" indent="0" outline="1" outlineData="1" multipleFieldFilters="0">
  <location ref="A3:B21" firstHeaderRow="1" firstDataRow="1" firstDataCol="1"/>
  <pivotFields count="12">
    <pivotField showAll="0"/>
    <pivotField dataField="1" numFmtId="166" showAll="0"/>
    <pivotField axis="axisRow" showAll="0">
      <items count="23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2"/>
  </rowFields>
  <rowItems count="18"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7"/>
    </i>
    <i>
      <x v="18"/>
    </i>
    <i t="grand">
      <x/>
    </i>
  </rowItems>
  <colItems count="1">
    <i/>
  </colItems>
  <dataFields count="1">
    <dataField name="Average of Price" fld="1" subtotal="average" baseField="2" baseItem="5" numFmtId="167"/>
  </dataFields>
  <formats count="2">
    <format dxfId="1">
      <pivotArea outline="0" collapsedLevelsAreSubtotals="1" fieldPosition="0"/>
    </format>
    <format dxfId="0">
      <pivotArea dataOnly="0" labelOnly="1" outline="0" axis="axisValues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3.bin"/><Relationship Id="rId1" Type="http://schemas.openxmlformats.org/officeDocument/2006/relationships/pivotTable" Target="../pivotTables/pivotTable1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5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45C984E-DD0B-4D10-84BF-0276294B8C42}">
  <dimension ref="A1:Q22"/>
  <sheetViews>
    <sheetView tabSelected="1" workbookViewId="0">
      <selection activeCell="J20" sqref="J20"/>
    </sheetView>
  </sheetViews>
  <sheetFormatPr defaultRowHeight="14.4" x14ac:dyDescent="0.3"/>
  <cols>
    <col min="1" max="1" width="13" customWidth="1"/>
    <col min="2" max="2" width="19.6640625" customWidth="1"/>
    <col min="3" max="3" width="19.109375" customWidth="1"/>
    <col min="4" max="5" width="14.109375" customWidth="1"/>
    <col min="6" max="6" width="15.33203125" customWidth="1"/>
    <col min="7" max="7" width="23.5546875" style="19" customWidth="1"/>
    <col min="11" max="11" width="16.44140625" customWidth="1"/>
    <col min="12" max="12" width="13.5546875" bestFit="1" customWidth="1"/>
    <col min="13" max="13" width="28.5546875" customWidth="1"/>
  </cols>
  <sheetData>
    <row r="1" spans="1:17" x14ac:dyDescent="0.3">
      <c r="A1" s="23" t="s">
        <v>1</v>
      </c>
      <c r="B1" s="23" t="s">
        <v>2</v>
      </c>
      <c r="C1" s="23" t="s">
        <v>3</v>
      </c>
      <c r="D1" s="23" t="s">
        <v>120</v>
      </c>
      <c r="E1" s="23" t="s">
        <v>4</v>
      </c>
      <c r="F1" s="23" t="s">
        <v>121</v>
      </c>
      <c r="G1" s="25" t="s">
        <v>0</v>
      </c>
    </row>
    <row r="2" spans="1:17" x14ac:dyDescent="0.3">
      <c r="A2" s="23">
        <v>0</v>
      </c>
      <c r="B2" s="23">
        <v>3000</v>
      </c>
      <c r="C2" s="23">
        <v>73</v>
      </c>
      <c r="D2" s="23">
        <v>73</v>
      </c>
      <c r="E2" s="23">
        <f>SUM(A2:B2)/2</f>
        <v>1500</v>
      </c>
      <c r="F2" s="23">
        <f>D2*E2</f>
        <v>109500</v>
      </c>
      <c r="G2" s="25">
        <f t="shared" ref="G2:G19" si="0">D2*(E2-$K$3)^2</f>
        <v>164250000</v>
      </c>
    </row>
    <row r="3" spans="1:17" x14ac:dyDescent="0.3">
      <c r="A3" s="23">
        <v>3000</v>
      </c>
      <c r="B3" s="23">
        <v>6000</v>
      </c>
      <c r="C3" s="23">
        <v>195</v>
      </c>
      <c r="D3" s="23">
        <f>C3-C2</f>
        <v>122</v>
      </c>
      <c r="E3" s="23">
        <f t="shared" ref="E3:E19" si="1">SUM(A3:B3)/2</f>
        <v>4500</v>
      </c>
      <c r="F3" s="23">
        <f t="shared" ref="F3:F19" si="2">D3*E3</f>
        <v>549000</v>
      </c>
      <c r="G3" s="25">
        <f t="shared" si="0"/>
        <v>2470500000</v>
      </c>
      <c r="K3" s="25"/>
      <c r="M3" s="25"/>
      <c r="N3" s="1"/>
    </row>
    <row r="4" spans="1:17" x14ac:dyDescent="0.3">
      <c r="A4" s="23">
        <v>6000</v>
      </c>
      <c r="B4" s="23">
        <v>9000</v>
      </c>
      <c r="C4" s="23">
        <v>322</v>
      </c>
      <c r="D4" s="23">
        <f t="shared" ref="D4:D19" si="3">C4-C3</f>
        <v>127</v>
      </c>
      <c r="E4" s="23">
        <f t="shared" si="1"/>
        <v>7500</v>
      </c>
      <c r="F4" s="23">
        <f t="shared" si="2"/>
        <v>952500</v>
      </c>
      <c r="G4" s="25">
        <f t="shared" si="0"/>
        <v>7143750000</v>
      </c>
      <c r="N4" s="1"/>
      <c r="Q4" s="1"/>
    </row>
    <row r="5" spans="1:17" x14ac:dyDescent="0.3">
      <c r="A5" s="23">
        <v>9000</v>
      </c>
      <c r="B5" s="23">
        <v>12000</v>
      </c>
      <c r="C5" s="23">
        <v>456</v>
      </c>
      <c r="D5" s="23">
        <f t="shared" si="3"/>
        <v>134</v>
      </c>
      <c r="E5" s="23">
        <f t="shared" si="1"/>
        <v>10500</v>
      </c>
      <c r="F5" s="23">
        <f t="shared" si="2"/>
        <v>1407000</v>
      </c>
      <c r="G5" s="25">
        <f t="shared" si="0"/>
        <v>14773500000</v>
      </c>
      <c r="N5" s="1"/>
      <c r="Q5" s="1"/>
    </row>
    <row r="6" spans="1:17" x14ac:dyDescent="0.3">
      <c r="A6" s="23">
        <v>12000</v>
      </c>
      <c r="B6" s="23">
        <v>15000</v>
      </c>
      <c r="C6" s="23">
        <v>595</v>
      </c>
      <c r="D6" s="23">
        <f t="shared" si="3"/>
        <v>139</v>
      </c>
      <c r="E6" s="23">
        <f t="shared" si="1"/>
        <v>13500</v>
      </c>
      <c r="F6" s="23">
        <f t="shared" si="2"/>
        <v>1876500</v>
      </c>
      <c r="G6" s="25">
        <f t="shared" si="0"/>
        <v>25332750000</v>
      </c>
      <c r="N6" s="1"/>
      <c r="Q6" s="1"/>
    </row>
    <row r="7" spans="1:17" x14ac:dyDescent="0.3">
      <c r="A7" s="23">
        <v>15000</v>
      </c>
      <c r="B7" s="23">
        <v>18000</v>
      </c>
      <c r="C7" s="23">
        <v>765</v>
      </c>
      <c r="D7" s="23">
        <f t="shared" si="3"/>
        <v>170</v>
      </c>
      <c r="E7" s="23">
        <f t="shared" si="1"/>
        <v>16500</v>
      </c>
      <c r="F7" s="23">
        <f t="shared" si="2"/>
        <v>2805000</v>
      </c>
      <c r="G7" s="25">
        <f t="shared" si="0"/>
        <v>46282500000</v>
      </c>
      <c r="J7" s="23"/>
      <c r="K7" s="23"/>
      <c r="L7" s="25"/>
      <c r="M7" s="25"/>
      <c r="N7" s="1"/>
      <c r="Q7" s="1"/>
    </row>
    <row r="8" spans="1:17" x14ac:dyDescent="0.3">
      <c r="A8" s="23">
        <v>18000</v>
      </c>
      <c r="B8" s="23">
        <v>21000</v>
      </c>
      <c r="C8" s="23">
        <v>881</v>
      </c>
      <c r="D8" s="23">
        <f t="shared" si="3"/>
        <v>116</v>
      </c>
      <c r="E8" s="23">
        <f t="shared" si="1"/>
        <v>19500</v>
      </c>
      <c r="F8" s="23">
        <f t="shared" si="2"/>
        <v>2262000</v>
      </c>
      <c r="G8" s="25">
        <f t="shared" si="0"/>
        <v>44109000000</v>
      </c>
      <c r="N8" s="1"/>
      <c r="Q8" s="1"/>
    </row>
    <row r="9" spans="1:17" x14ac:dyDescent="0.3">
      <c r="A9" s="23">
        <v>21000</v>
      </c>
      <c r="B9" s="23">
        <v>24000</v>
      </c>
      <c r="C9" s="23">
        <v>995</v>
      </c>
      <c r="D9" s="23">
        <f t="shared" si="3"/>
        <v>114</v>
      </c>
      <c r="E9" s="23">
        <f t="shared" si="1"/>
        <v>22500</v>
      </c>
      <c r="F9" s="23">
        <f t="shared" si="2"/>
        <v>2565000</v>
      </c>
      <c r="G9" s="25">
        <f t="shared" si="0"/>
        <v>57712500000</v>
      </c>
      <c r="N9" s="1"/>
      <c r="Q9" s="1"/>
    </row>
    <row r="10" spans="1:17" x14ac:dyDescent="0.3">
      <c r="A10" s="23">
        <v>24000</v>
      </c>
      <c r="B10" s="23">
        <v>27000</v>
      </c>
      <c r="C10" s="23">
        <v>1040</v>
      </c>
      <c r="D10" s="23">
        <f t="shared" si="3"/>
        <v>45</v>
      </c>
      <c r="E10" s="23">
        <f t="shared" si="1"/>
        <v>25500</v>
      </c>
      <c r="F10" s="23">
        <f t="shared" si="2"/>
        <v>1147500</v>
      </c>
      <c r="G10" s="25">
        <f t="shared" si="0"/>
        <v>29261250000</v>
      </c>
      <c r="N10" s="1"/>
      <c r="Q10" s="1"/>
    </row>
    <row r="11" spans="1:17" x14ac:dyDescent="0.3">
      <c r="A11" s="23">
        <v>27000</v>
      </c>
      <c r="B11" s="23">
        <v>30000</v>
      </c>
      <c r="C11" s="24">
        <v>1081</v>
      </c>
      <c r="D11" s="23">
        <f t="shared" si="3"/>
        <v>41</v>
      </c>
      <c r="E11" s="23">
        <f t="shared" si="1"/>
        <v>28500</v>
      </c>
      <c r="F11" s="23">
        <f t="shared" si="2"/>
        <v>1168500</v>
      </c>
      <c r="G11" s="25">
        <f t="shared" si="0"/>
        <v>33302250000</v>
      </c>
      <c r="N11" s="1"/>
      <c r="Q11" s="1"/>
    </row>
    <row r="12" spans="1:17" x14ac:dyDescent="0.3">
      <c r="A12" s="23">
        <v>30000</v>
      </c>
      <c r="B12" s="23">
        <v>33000</v>
      </c>
      <c r="C12" s="24">
        <v>1108</v>
      </c>
      <c r="D12" s="23">
        <f t="shared" si="3"/>
        <v>27</v>
      </c>
      <c r="E12" s="23">
        <f t="shared" si="1"/>
        <v>31500</v>
      </c>
      <c r="F12" s="23">
        <f t="shared" si="2"/>
        <v>850500</v>
      </c>
      <c r="G12" s="25">
        <f t="shared" si="0"/>
        <v>26790750000</v>
      </c>
      <c r="N12" s="1"/>
      <c r="Q12" s="1"/>
    </row>
    <row r="13" spans="1:17" x14ac:dyDescent="0.3">
      <c r="A13" s="23">
        <v>33000</v>
      </c>
      <c r="B13" s="23">
        <v>36000</v>
      </c>
      <c r="C13" s="23">
        <v>1134</v>
      </c>
      <c r="D13" s="23">
        <f t="shared" si="3"/>
        <v>26</v>
      </c>
      <c r="E13" s="23">
        <f t="shared" si="1"/>
        <v>34500</v>
      </c>
      <c r="F13" s="23">
        <f t="shared" si="2"/>
        <v>897000</v>
      </c>
      <c r="G13" s="25">
        <f t="shared" si="0"/>
        <v>30946500000</v>
      </c>
      <c r="N13" s="1"/>
      <c r="Q13" s="1"/>
    </row>
    <row r="14" spans="1:17" x14ac:dyDescent="0.3">
      <c r="A14" s="23">
        <v>36000</v>
      </c>
      <c r="B14" s="23">
        <v>39000</v>
      </c>
      <c r="C14" s="24">
        <v>1148</v>
      </c>
      <c r="D14" s="23">
        <f t="shared" si="3"/>
        <v>14</v>
      </c>
      <c r="E14" s="23">
        <f t="shared" si="1"/>
        <v>37500</v>
      </c>
      <c r="F14" s="23">
        <f t="shared" si="2"/>
        <v>525000</v>
      </c>
      <c r="G14" s="25">
        <f t="shared" si="0"/>
        <v>19687500000</v>
      </c>
      <c r="N14" s="1"/>
      <c r="Q14" s="1"/>
    </row>
    <row r="15" spans="1:17" x14ac:dyDescent="0.3">
      <c r="A15" s="23">
        <v>39000</v>
      </c>
      <c r="B15" s="23">
        <v>42000</v>
      </c>
      <c r="C15" s="24">
        <v>1156</v>
      </c>
      <c r="D15" s="23">
        <f t="shared" si="3"/>
        <v>8</v>
      </c>
      <c r="E15" s="23">
        <f t="shared" si="1"/>
        <v>40500</v>
      </c>
      <c r="F15" s="23">
        <f t="shared" si="2"/>
        <v>324000</v>
      </c>
      <c r="G15" s="25">
        <f t="shared" si="0"/>
        <v>13122000000</v>
      </c>
      <c r="N15" s="1"/>
      <c r="O15" s="1"/>
      <c r="Q15" s="1"/>
    </row>
    <row r="16" spans="1:17" x14ac:dyDescent="0.3">
      <c r="A16" s="23">
        <v>42000</v>
      </c>
      <c r="B16" s="23">
        <v>45000</v>
      </c>
      <c r="C16" s="24">
        <v>1176</v>
      </c>
      <c r="D16" s="23">
        <f t="shared" si="3"/>
        <v>20</v>
      </c>
      <c r="E16" s="23">
        <f t="shared" si="1"/>
        <v>43500</v>
      </c>
      <c r="F16" s="23">
        <f t="shared" si="2"/>
        <v>870000</v>
      </c>
      <c r="G16" s="25">
        <f t="shared" si="0"/>
        <v>37845000000</v>
      </c>
      <c r="N16" s="1"/>
      <c r="O16" s="1"/>
      <c r="Q16" s="1"/>
    </row>
    <row r="17" spans="1:17" x14ac:dyDescent="0.3">
      <c r="A17" s="23">
        <v>45000</v>
      </c>
      <c r="B17" s="23">
        <v>48000</v>
      </c>
      <c r="C17" s="24">
        <v>1177</v>
      </c>
      <c r="D17" s="23">
        <f t="shared" si="3"/>
        <v>1</v>
      </c>
      <c r="E17" s="23">
        <f t="shared" si="1"/>
        <v>46500</v>
      </c>
      <c r="F17" s="23">
        <f t="shared" si="2"/>
        <v>46500</v>
      </c>
      <c r="G17" s="25">
        <f t="shared" si="0"/>
        <v>2162250000</v>
      </c>
      <c r="N17" s="1"/>
      <c r="O17" s="1"/>
      <c r="Q17" s="1"/>
    </row>
    <row r="18" spans="1:17" x14ac:dyDescent="0.3">
      <c r="A18" s="23">
        <v>48000</v>
      </c>
      <c r="B18" s="23">
        <v>51000</v>
      </c>
      <c r="C18" s="24">
        <v>1178</v>
      </c>
      <c r="D18" s="23">
        <f t="shared" si="3"/>
        <v>1</v>
      </c>
      <c r="E18" s="23">
        <f t="shared" si="1"/>
        <v>49500</v>
      </c>
      <c r="F18" s="23">
        <f t="shared" si="2"/>
        <v>49500</v>
      </c>
      <c r="G18" s="25">
        <f t="shared" si="0"/>
        <v>2450250000</v>
      </c>
      <c r="N18" s="1"/>
      <c r="O18" s="1"/>
      <c r="Q18" s="1"/>
    </row>
    <row r="19" spans="1:17" x14ac:dyDescent="0.3">
      <c r="A19" s="23">
        <v>51000</v>
      </c>
      <c r="B19" s="23">
        <v>54000</v>
      </c>
      <c r="C19" s="24">
        <v>1179</v>
      </c>
      <c r="D19" s="23">
        <f t="shared" si="3"/>
        <v>1</v>
      </c>
      <c r="E19" s="23">
        <f t="shared" si="1"/>
        <v>52500</v>
      </c>
      <c r="F19" s="23">
        <f t="shared" si="2"/>
        <v>52500</v>
      </c>
      <c r="G19" s="25">
        <f t="shared" si="0"/>
        <v>2756250000</v>
      </c>
      <c r="N19" s="1"/>
      <c r="O19" s="1"/>
      <c r="Q19" s="1"/>
    </row>
    <row r="20" spans="1:17" x14ac:dyDescent="0.3">
      <c r="A20" s="23"/>
      <c r="B20" s="23"/>
      <c r="C20" s="23"/>
      <c r="N20" s="1"/>
      <c r="O20" s="1"/>
      <c r="Q20" s="1"/>
    </row>
    <row r="21" spans="1:17" x14ac:dyDescent="0.3">
      <c r="N21" s="1"/>
      <c r="O21" s="1"/>
      <c r="Q21" s="1"/>
    </row>
    <row r="22" spans="1:17" x14ac:dyDescent="0.3">
      <c r="N22" s="1"/>
      <c r="O22" s="1"/>
      <c r="Q22" s="1"/>
    </row>
  </sheetData>
  <pageMargins left="0.7" right="0.7" top="0.75" bottom="0.75" header="0.3" footer="0.3"/>
  <pageSetup orientation="portrait" r:id="rId1"/>
  <ignoredErrors>
    <ignoredError sqref="E2:E19" formulaRange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71B1327-63D5-40D0-AA0E-73560CCE0622}">
  <dimension ref="A1:J100"/>
  <sheetViews>
    <sheetView workbookViewId="0">
      <selection activeCell="J4" sqref="J4"/>
    </sheetView>
  </sheetViews>
  <sheetFormatPr defaultRowHeight="14.4" x14ac:dyDescent="0.3"/>
  <cols>
    <col min="1" max="1" width="8.88671875" style="2"/>
    <col min="2" max="2" width="12.33203125" style="4" bestFit="1" customWidth="1"/>
    <col min="3" max="3" width="12.5546875" style="3" bestFit="1" customWidth="1"/>
    <col min="4" max="7" width="8.88671875" style="2"/>
  </cols>
  <sheetData>
    <row r="1" spans="1:10" x14ac:dyDescent="0.3">
      <c r="A1" s="2" t="s">
        <v>15</v>
      </c>
      <c r="B1" s="4" t="s">
        <v>5</v>
      </c>
      <c r="C1" s="3" t="s">
        <v>6</v>
      </c>
      <c r="D1" s="2" t="s">
        <v>7</v>
      </c>
      <c r="E1" s="2" t="s">
        <v>8</v>
      </c>
      <c r="F1" s="2" t="s">
        <v>9</v>
      </c>
      <c r="G1" s="2" t="s">
        <v>10</v>
      </c>
    </row>
    <row r="2" spans="1:10" x14ac:dyDescent="0.3">
      <c r="A2" s="2">
        <v>1</v>
      </c>
      <c r="B2" s="4">
        <v>19449</v>
      </c>
      <c r="C2" s="3">
        <v>31738</v>
      </c>
      <c r="D2" s="2" t="s">
        <v>16</v>
      </c>
      <c r="E2" s="2" t="s">
        <v>13</v>
      </c>
      <c r="F2" s="2">
        <v>5</v>
      </c>
      <c r="G2" s="2">
        <v>21</v>
      </c>
    </row>
    <row r="3" spans="1:10" x14ac:dyDescent="0.3">
      <c r="A3" s="2">
        <v>2</v>
      </c>
      <c r="B3" s="4">
        <v>12995</v>
      </c>
      <c r="C3" s="3">
        <v>93000</v>
      </c>
      <c r="D3" s="2" t="s">
        <v>11</v>
      </c>
      <c r="E3" s="2" t="s">
        <v>13</v>
      </c>
      <c r="F3" s="2">
        <v>5</v>
      </c>
      <c r="G3" s="2">
        <v>19</v>
      </c>
    </row>
    <row r="4" spans="1:10" x14ac:dyDescent="0.3">
      <c r="A4" s="2">
        <v>3</v>
      </c>
      <c r="B4" s="4">
        <v>27200</v>
      </c>
      <c r="C4" s="3">
        <v>2780</v>
      </c>
      <c r="D4" s="2" t="s">
        <v>12</v>
      </c>
      <c r="E4" s="2" t="s">
        <v>14</v>
      </c>
      <c r="F4" s="2">
        <v>5</v>
      </c>
      <c r="G4" s="2">
        <v>25</v>
      </c>
      <c r="I4" t="s">
        <v>118</v>
      </c>
      <c r="J4" s="26">
        <f>AVERAGE(B2:B100)</f>
        <v>14909.414141414141</v>
      </c>
    </row>
    <row r="5" spans="1:10" x14ac:dyDescent="0.3">
      <c r="A5" s="2">
        <v>4</v>
      </c>
      <c r="B5" s="4">
        <v>5995</v>
      </c>
      <c r="C5" s="3">
        <v>107908</v>
      </c>
      <c r="D5" s="2" t="s">
        <v>12</v>
      </c>
      <c r="E5" s="2" t="s">
        <v>14</v>
      </c>
      <c r="F5" s="2">
        <v>5</v>
      </c>
      <c r="G5" s="2">
        <v>15</v>
      </c>
      <c r="I5" t="s">
        <v>119</v>
      </c>
      <c r="J5">
        <f>_xlfn.STDEV.S(B2:B100)</f>
        <v>9812.2751985273389</v>
      </c>
    </row>
    <row r="6" spans="1:10" x14ac:dyDescent="0.3">
      <c r="A6" s="2">
        <v>5</v>
      </c>
      <c r="B6" s="4">
        <v>30084</v>
      </c>
      <c r="C6" s="3">
        <v>201</v>
      </c>
      <c r="D6" s="2" t="s">
        <v>17</v>
      </c>
      <c r="E6" s="2" t="s">
        <v>13</v>
      </c>
      <c r="F6" s="2">
        <v>5</v>
      </c>
      <c r="G6" s="2">
        <v>25</v>
      </c>
    </row>
    <row r="7" spans="1:10" x14ac:dyDescent="0.3">
      <c r="A7" s="2">
        <v>6</v>
      </c>
      <c r="B7" s="4">
        <v>47000</v>
      </c>
      <c r="C7" s="3">
        <v>3000</v>
      </c>
      <c r="D7" s="2" t="s">
        <v>12</v>
      </c>
      <c r="E7" s="2" t="s">
        <v>13</v>
      </c>
      <c r="F7" s="2">
        <v>5</v>
      </c>
      <c r="G7" s="2">
        <v>25</v>
      </c>
    </row>
    <row r="8" spans="1:10" x14ac:dyDescent="0.3">
      <c r="A8" s="2">
        <v>7</v>
      </c>
      <c r="B8" s="4">
        <v>13205</v>
      </c>
      <c r="C8" s="3">
        <v>32519</v>
      </c>
      <c r="D8" s="2" t="s">
        <v>12</v>
      </c>
      <c r="E8" s="2" t="s">
        <v>13</v>
      </c>
      <c r="F8" s="2">
        <v>5</v>
      </c>
      <c r="G8" s="2">
        <v>21</v>
      </c>
    </row>
    <row r="9" spans="1:10" x14ac:dyDescent="0.3">
      <c r="A9" s="2">
        <v>8</v>
      </c>
      <c r="B9" s="4">
        <v>9300</v>
      </c>
      <c r="C9" s="3">
        <v>94000</v>
      </c>
      <c r="D9" s="2" t="s">
        <v>11</v>
      </c>
      <c r="E9" s="2" t="s">
        <v>14</v>
      </c>
      <c r="F9" s="2">
        <v>5</v>
      </c>
      <c r="G9" s="2">
        <v>18</v>
      </c>
    </row>
    <row r="10" spans="1:10" x14ac:dyDescent="0.3">
      <c r="A10" s="2">
        <v>9</v>
      </c>
      <c r="B10" s="4">
        <v>9995</v>
      </c>
      <c r="C10" s="3">
        <v>61350</v>
      </c>
      <c r="D10" s="2" t="s">
        <v>12</v>
      </c>
      <c r="E10" s="2" t="s">
        <v>13</v>
      </c>
      <c r="F10" s="2">
        <v>5</v>
      </c>
      <c r="G10" s="2">
        <v>15</v>
      </c>
    </row>
    <row r="11" spans="1:10" x14ac:dyDescent="0.3">
      <c r="A11" s="2">
        <v>10</v>
      </c>
      <c r="B11" s="4">
        <v>7295</v>
      </c>
      <c r="C11" s="3">
        <v>61000</v>
      </c>
      <c r="D11" s="2" t="s">
        <v>11</v>
      </c>
      <c r="E11" s="2" t="s">
        <v>13</v>
      </c>
      <c r="F11" s="2">
        <v>5</v>
      </c>
      <c r="G11" s="2">
        <v>13</v>
      </c>
    </row>
    <row r="12" spans="1:10" x14ac:dyDescent="0.3">
      <c r="A12" s="2">
        <v>11</v>
      </c>
      <c r="B12" s="4">
        <v>8190</v>
      </c>
      <c r="C12" s="3">
        <v>81251</v>
      </c>
      <c r="D12" s="2" t="s">
        <v>11</v>
      </c>
      <c r="E12" s="2" t="s">
        <v>14</v>
      </c>
      <c r="F12" s="2">
        <v>5</v>
      </c>
      <c r="G12" s="2">
        <v>16</v>
      </c>
    </row>
    <row r="13" spans="1:10" x14ac:dyDescent="0.3">
      <c r="A13" s="2">
        <v>12</v>
      </c>
      <c r="B13" s="4">
        <v>14811</v>
      </c>
      <c r="C13" s="3">
        <v>84649</v>
      </c>
      <c r="D13" s="2" t="s">
        <v>17</v>
      </c>
      <c r="E13" s="2" t="s">
        <v>13</v>
      </c>
      <c r="F13" s="2">
        <v>5</v>
      </c>
      <c r="G13" s="2">
        <v>21</v>
      </c>
    </row>
    <row r="14" spans="1:10" x14ac:dyDescent="0.3">
      <c r="A14" s="2">
        <v>13</v>
      </c>
      <c r="B14" s="4">
        <v>37210</v>
      </c>
      <c r="C14" s="3">
        <v>3406</v>
      </c>
      <c r="D14" s="2" t="s">
        <v>12</v>
      </c>
      <c r="E14" s="2" t="s">
        <v>13</v>
      </c>
      <c r="F14" s="2">
        <v>5</v>
      </c>
      <c r="G14" s="2">
        <v>25</v>
      </c>
    </row>
    <row r="15" spans="1:10" x14ac:dyDescent="0.3">
      <c r="A15" s="2">
        <v>14</v>
      </c>
      <c r="B15" s="4">
        <v>2295</v>
      </c>
      <c r="C15" s="3">
        <v>148650</v>
      </c>
      <c r="D15" s="2" t="s">
        <v>11</v>
      </c>
      <c r="E15" s="2" t="s">
        <v>14</v>
      </c>
      <c r="F15" s="2">
        <v>5</v>
      </c>
      <c r="G15" s="2">
        <v>9</v>
      </c>
    </row>
    <row r="16" spans="1:10" x14ac:dyDescent="0.3">
      <c r="A16" s="2">
        <v>15</v>
      </c>
      <c r="B16" s="4">
        <v>4985</v>
      </c>
      <c r="C16" s="3">
        <v>85652</v>
      </c>
      <c r="D16" s="2" t="s">
        <v>12</v>
      </c>
      <c r="E16" s="2" t="s">
        <v>13</v>
      </c>
      <c r="F16" s="2">
        <v>5</v>
      </c>
      <c r="G16" s="2">
        <v>9</v>
      </c>
    </row>
    <row r="17" spans="1:7" x14ac:dyDescent="0.3">
      <c r="A17" s="2">
        <v>16</v>
      </c>
      <c r="B17" s="4">
        <v>3495</v>
      </c>
      <c r="C17" s="3">
        <v>111242</v>
      </c>
      <c r="D17" s="2" t="s">
        <v>12</v>
      </c>
      <c r="E17" s="2" t="s">
        <v>14</v>
      </c>
      <c r="F17" s="2">
        <v>5</v>
      </c>
      <c r="G17" s="2">
        <v>9</v>
      </c>
    </row>
    <row r="18" spans="1:7" x14ac:dyDescent="0.3">
      <c r="A18" s="2">
        <v>17</v>
      </c>
      <c r="B18" s="4">
        <v>23439</v>
      </c>
      <c r="C18" s="3">
        <v>52441</v>
      </c>
      <c r="D18" s="2" t="s">
        <v>12</v>
      </c>
      <c r="E18" s="2" t="s">
        <v>13</v>
      </c>
      <c r="F18" s="2">
        <v>5</v>
      </c>
      <c r="G18" s="2">
        <v>21</v>
      </c>
    </row>
    <row r="19" spans="1:7" x14ac:dyDescent="0.3">
      <c r="A19" s="2">
        <v>18</v>
      </c>
      <c r="B19" s="4">
        <v>4095</v>
      </c>
      <c r="C19" s="3">
        <v>96000</v>
      </c>
      <c r="D19" s="2" t="s">
        <v>12</v>
      </c>
      <c r="E19" s="2" t="s">
        <v>14</v>
      </c>
      <c r="F19" s="2">
        <v>5</v>
      </c>
      <c r="G19" s="2">
        <v>13</v>
      </c>
    </row>
    <row r="20" spans="1:7" x14ac:dyDescent="0.3">
      <c r="A20" s="2">
        <v>19</v>
      </c>
      <c r="B20" s="4">
        <v>5295</v>
      </c>
      <c r="C20" s="3">
        <v>81012</v>
      </c>
      <c r="D20" s="2" t="s">
        <v>12</v>
      </c>
      <c r="E20" s="2" t="s">
        <v>13</v>
      </c>
      <c r="F20" s="2">
        <v>5</v>
      </c>
      <c r="G20" s="2">
        <v>13</v>
      </c>
    </row>
    <row r="21" spans="1:7" x14ac:dyDescent="0.3">
      <c r="A21" s="2">
        <v>20</v>
      </c>
      <c r="B21" s="4">
        <v>18049</v>
      </c>
      <c r="C21" s="3">
        <v>60881</v>
      </c>
      <c r="D21" s="2" t="s">
        <v>17</v>
      </c>
      <c r="E21" s="2" t="s">
        <v>13</v>
      </c>
      <c r="F21" s="2">
        <v>5</v>
      </c>
      <c r="G21" s="2">
        <v>22</v>
      </c>
    </row>
    <row r="22" spans="1:7" x14ac:dyDescent="0.3">
      <c r="A22" s="2">
        <v>21</v>
      </c>
      <c r="B22" s="4">
        <v>8695</v>
      </c>
      <c r="C22" s="3">
        <v>76227</v>
      </c>
      <c r="D22" s="2" t="s">
        <v>11</v>
      </c>
      <c r="E22" s="2" t="s">
        <v>14</v>
      </c>
      <c r="F22" s="2">
        <v>5</v>
      </c>
      <c r="G22" s="2">
        <v>17</v>
      </c>
    </row>
    <row r="23" spans="1:7" x14ac:dyDescent="0.3">
      <c r="A23" s="2">
        <v>22</v>
      </c>
      <c r="B23" s="4">
        <v>5545</v>
      </c>
      <c r="C23" s="3">
        <v>90640</v>
      </c>
      <c r="D23" s="2" t="s">
        <v>12</v>
      </c>
      <c r="E23" s="2" t="s">
        <v>14</v>
      </c>
      <c r="F23" s="2">
        <v>5</v>
      </c>
      <c r="G23" s="2">
        <v>13</v>
      </c>
    </row>
    <row r="24" spans="1:7" x14ac:dyDescent="0.3">
      <c r="A24" s="2">
        <v>23</v>
      </c>
      <c r="B24" s="4">
        <v>17099</v>
      </c>
      <c r="C24" s="3">
        <v>48899</v>
      </c>
      <c r="D24" s="2" t="s">
        <v>12</v>
      </c>
      <c r="E24" s="2" t="s">
        <v>14</v>
      </c>
      <c r="F24" s="2">
        <v>5</v>
      </c>
      <c r="G24" s="2">
        <v>21</v>
      </c>
    </row>
    <row r="25" spans="1:7" x14ac:dyDescent="0.3">
      <c r="A25" s="2">
        <v>24</v>
      </c>
      <c r="B25" s="4">
        <v>14799</v>
      </c>
      <c r="C25" s="3">
        <v>65137</v>
      </c>
      <c r="D25" s="2" t="s">
        <v>11</v>
      </c>
      <c r="E25" s="2" t="s">
        <v>13</v>
      </c>
      <c r="F25" s="2">
        <v>5</v>
      </c>
      <c r="G25" s="2">
        <v>19</v>
      </c>
    </row>
    <row r="26" spans="1:7" x14ac:dyDescent="0.3">
      <c r="A26" s="2">
        <v>25</v>
      </c>
      <c r="B26" s="4">
        <v>21884</v>
      </c>
      <c r="C26" s="3">
        <v>23032</v>
      </c>
      <c r="D26" s="2" t="s">
        <v>16</v>
      </c>
      <c r="E26" s="2" t="s">
        <v>13</v>
      </c>
      <c r="F26" s="2">
        <v>5</v>
      </c>
      <c r="G26" s="2">
        <v>23</v>
      </c>
    </row>
    <row r="27" spans="1:7" x14ac:dyDescent="0.3">
      <c r="A27" s="2">
        <v>26</v>
      </c>
      <c r="B27" s="4">
        <v>27998</v>
      </c>
      <c r="C27" s="3">
        <v>8079</v>
      </c>
      <c r="D27" s="2" t="s">
        <v>12</v>
      </c>
      <c r="E27" s="2" t="s">
        <v>14</v>
      </c>
      <c r="F27" s="2">
        <v>5</v>
      </c>
      <c r="G27" s="2">
        <v>24</v>
      </c>
    </row>
    <row r="28" spans="1:7" x14ac:dyDescent="0.3">
      <c r="A28" s="2">
        <v>27</v>
      </c>
      <c r="B28" s="4">
        <v>20499</v>
      </c>
      <c r="C28" s="3">
        <v>11707</v>
      </c>
      <c r="D28" s="2" t="s">
        <v>12</v>
      </c>
      <c r="E28" s="2" t="s">
        <v>14</v>
      </c>
      <c r="F28" s="2">
        <v>5</v>
      </c>
      <c r="G28" s="2">
        <v>24</v>
      </c>
    </row>
    <row r="29" spans="1:7" x14ac:dyDescent="0.3">
      <c r="A29" s="2">
        <v>28</v>
      </c>
      <c r="B29" s="4">
        <v>29473</v>
      </c>
      <c r="C29" s="3">
        <v>2944</v>
      </c>
      <c r="D29" s="2" t="s">
        <v>17</v>
      </c>
      <c r="E29" s="2" t="s">
        <v>13</v>
      </c>
      <c r="F29" s="2">
        <v>5</v>
      </c>
      <c r="G29" s="2">
        <v>25</v>
      </c>
    </row>
    <row r="30" spans="1:7" x14ac:dyDescent="0.3">
      <c r="A30" s="2">
        <v>29</v>
      </c>
      <c r="B30" s="4">
        <v>13490</v>
      </c>
      <c r="C30" s="3">
        <v>38920</v>
      </c>
      <c r="D30" s="2" t="s">
        <v>12</v>
      </c>
      <c r="E30" s="2" t="s">
        <v>13</v>
      </c>
      <c r="F30" s="2">
        <v>5</v>
      </c>
      <c r="G30" s="2">
        <v>17</v>
      </c>
    </row>
    <row r="31" spans="1:7" x14ac:dyDescent="0.3">
      <c r="A31" s="2">
        <v>30</v>
      </c>
      <c r="B31" s="4">
        <v>19820</v>
      </c>
      <c r="C31" s="3">
        <v>29000</v>
      </c>
      <c r="D31" s="2" t="s">
        <v>17</v>
      </c>
      <c r="E31" s="2" t="s">
        <v>13</v>
      </c>
      <c r="F31" s="2">
        <v>5</v>
      </c>
      <c r="G31" s="2">
        <v>21</v>
      </c>
    </row>
    <row r="32" spans="1:7" x14ac:dyDescent="0.3">
      <c r="A32" s="2">
        <v>31</v>
      </c>
      <c r="B32" s="4">
        <v>4995</v>
      </c>
      <c r="C32" s="3">
        <v>104000</v>
      </c>
      <c r="D32" s="2" t="s">
        <v>12</v>
      </c>
      <c r="E32" s="2" t="s">
        <v>14</v>
      </c>
      <c r="F32" s="2">
        <v>5</v>
      </c>
      <c r="G32" s="2">
        <v>13</v>
      </c>
    </row>
    <row r="33" spans="1:7" x14ac:dyDescent="0.3">
      <c r="A33" s="2">
        <v>32</v>
      </c>
      <c r="B33" s="4">
        <v>2495</v>
      </c>
      <c r="C33" s="3">
        <v>138711</v>
      </c>
      <c r="D33" s="2" t="s">
        <v>11</v>
      </c>
      <c r="E33" s="2" t="s">
        <v>13</v>
      </c>
      <c r="F33" s="2">
        <v>5</v>
      </c>
      <c r="G33" s="2">
        <v>8</v>
      </c>
    </row>
    <row r="34" spans="1:7" x14ac:dyDescent="0.3">
      <c r="A34" s="2">
        <v>33</v>
      </c>
      <c r="B34" s="4">
        <v>8800</v>
      </c>
      <c r="C34" s="3">
        <v>37550</v>
      </c>
      <c r="D34" s="2" t="s">
        <v>11</v>
      </c>
      <c r="E34" s="2" t="s">
        <v>13</v>
      </c>
      <c r="F34" s="2">
        <v>5</v>
      </c>
      <c r="G34" s="2">
        <v>14</v>
      </c>
    </row>
    <row r="35" spans="1:7" x14ac:dyDescent="0.3">
      <c r="A35" s="2">
        <v>34</v>
      </c>
      <c r="B35" s="4">
        <v>8299</v>
      </c>
      <c r="C35" s="3">
        <v>74027</v>
      </c>
      <c r="D35" s="2" t="s">
        <v>11</v>
      </c>
      <c r="E35" s="2" t="s">
        <v>14</v>
      </c>
      <c r="F35" s="2">
        <v>5</v>
      </c>
      <c r="G35" s="2">
        <v>16</v>
      </c>
    </row>
    <row r="36" spans="1:7" x14ac:dyDescent="0.3">
      <c r="A36" s="2">
        <v>35</v>
      </c>
      <c r="B36" s="4">
        <v>14811</v>
      </c>
      <c r="C36" s="3">
        <v>84649</v>
      </c>
      <c r="D36" s="2" t="s">
        <v>17</v>
      </c>
      <c r="E36" s="2" t="s">
        <v>13</v>
      </c>
      <c r="F36" s="2">
        <v>5</v>
      </c>
      <c r="G36" s="2">
        <v>21</v>
      </c>
    </row>
    <row r="37" spans="1:7" x14ac:dyDescent="0.3">
      <c r="A37" s="2">
        <v>36</v>
      </c>
      <c r="B37" s="4">
        <v>16000</v>
      </c>
      <c r="C37" s="3">
        <v>62500</v>
      </c>
      <c r="D37" s="2" t="s">
        <v>11</v>
      </c>
      <c r="E37" s="2" t="s">
        <v>13</v>
      </c>
      <c r="F37" s="2">
        <v>5</v>
      </c>
      <c r="G37" s="2">
        <v>18</v>
      </c>
    </row>
    <row r="38" spans="1:7" x14ac:dyDescent="0.3">
      <c r="A38" s="2">
        <v>37</v>
      </c>
      <c r="B38" s="4">
        <v>24750</v>
      </c>
      <c r="C38" s="3">
        <v>59000</v>
      </c>
      <c r="D38" s="2" t="s">
        <v>12</v>
      </c>
      <c r="E38" s="2" t="s">
        <v>13</v>
      </c>
      <c r="F38" s="2">
        <v>5</v>
      </c>
      <c r="G38" s="2">
        <v>21</v>
      </c>
    </row>
    <row r="39" spans="1:7" x14ac:dyDescent="0.3">
      <c r="A39" s="2">
        <v>38</v>
      </c>
      <c r="B39" s="4">
        <v>9722</v>
      </c>
      <c r="C39" s="3">
        <v>75000</v>
      </c>
      <c r="D39" s="2" t="s">
        <v>12</v>
      </c>
      <c r="E39" s="2" t="s">
        <v>13</v>
      </c>
      <c r="F39" s="2">
        <v>5</v>
      </c>
      <c r="G39" s="2">
        <v>17</v>
      </c>
    </row>
    <row r="40" spans="1:7" x14ac:dyDescent="0.3">
      <c r="A40" s="2">
        <v>39</v>
      </c>
      <c r="B40" s="4">
        <v>6195</v>
      </c>
      <c r="C40" s="3">
        <v>91000</v>
      </c>
      <c r="D40" s="2" t="s">
        <v>11</v>
      </c>
      <c r="E40" s="2" t="s">
        <v>14</v>
      </c>
      <c r="F40" s="2">
        <v>5</v>
      </c>
      <c r="G40" s="2">
        <v>12</v>
      </c>
    </row>
    <row r="41" spans="1:7" x14ac:dyDescent="0.3">
      <c r="A41" s="2">
        <v>40</v>
      </c>
      <c r="B41" s="4">
        <v>6900</v>
      </c>
      <c r="C41" s="3">
        <v>10000</v>
      </c>
      <c r="D41" s="2" t="s">
        <v>12</v>
      </c>
      <c r="E41" s="2" t="s">
        <v>13</v>
      </c>
      <c r="F41" s="2">
        <v>5</v>
      </c>
      <c r="G41" s="2">
        <v>12</v>
      </c>
    </row>
    <row r="42" spans="1:7" x14ac:dyDescent="0.3">
      <c r="A42" s="2">
        <v>41</v>
      </c>
      <c r="B42" s="4">
        <v>18999</v>
      </c>
      <c r="C42" s="3">
        <v>68588</v>
      </c>
      <c r="D42" s="2" t="s">
        <v>12</v>
      </c>
      <c r="E42" s="2" t="s">
        <v>13</v>
      </c>
      <c r="F42" s="2">
        <v>5</v>
      </c>
      <c r="G42" s="2">
        <v>18</v>
      </c>
    </row>
    <row r="43" spans="1:7" x14ac:dyDescent="0.3">
      <c r="A43" s="2">
        <v>42</v>
      </c>
      <c r="B43" s="4">
        <v>17999</v>
      </c>
      <c r="C43" s="3">
        <v>96000</v>
      </c>
      <c r="D43" s="2" t="s">
        <v>12</v>
      </c>
      <c r="E43" s="2" t="s">
        <v>13</v>
      </c>
      <c r="F43" s="2">
        <v>5</v>
      </c>
      <c r="G43" s="2">
        <v>19</v>
      </c>
    </row>
    <row r="44" spans="1:7" x14ac:dyDescent="0.3">
      <c r="A44" s="2">
        <v>43</v>
      </c>
      <c r="B44" s="4">
        <v>5499</v>
      </c>
      <c r="C44" s="3">
        <v>64000</v>
      </c>
      <c r="D44" s="2" t="s">
        <v>11</v>
      </c>
      <c r="E44" s="2" t="s">
        <v>14</v>
      </c>
      <c r="F44" s="2">
        <v>5</v>
      </c>
      <c r="G44" s="2">
        <v>11</v>
      </c>
    </row>
    <row r="45" spans="1:7" x14ac:dyDescent="0.3">
      <c r="A45" s="2">
        <v>44</v>
      </c>
      <c r="B45" s="4">
        <v>39923</v>
      </c>
      <c r="C45" s="3">
        <v>4577</v>
      </c>
      <c r="D45" s="2" t="s">
        <v>12</v>
      </c>
      <c r="E45" s="2" t="s">
        <v>13</v>
      </c>
      <c r="F45" s="2">
        <v>5</v>
      </c>
      <c r="G45" s="2">
        <v>25</v>
      </c>
    </row>
    <row r="46" spans="1:7" x14ac:dyDescent="0.3">
      <c r="A46" s="2">
        <v>45</v>
      </c>
      <c r="B46" s="4">
        <v>14250</v>
      </c>
      <c r="C46" s="3">
        <v>102000</v>
      </c>
      <c r="D46" s="2" t="s">
        <v>12</v>
      </c>
      <c r="E46" s="2" t="s">
        <v>13</v>
      </c>
      <c r="F46" s="2">
        <v>5</v>
      </c>
      <c r="G46" s="2">
        <v>18</v>
      </c>
    </row>
    <row r="47" spans="1:7" x14ac:dyDescent="0.3">
      <c r="A47" s="2">
        <v>46</v>
      </c>
      <c r="B47" s="4">
        <v>38042</v>
      </c>
      <c r="C47" s="3">
        <v>7835</v>
      </c>
      <c r="D47" s="2" t="s">
        <v>16</v>
      </c>
      <c r="E47" s="2" t="s">
        <v>13</v>
      </c>
      <c r="F47" s="2">
        <v>5</v>
      </c>
      <c r="G47" s="2">
        <v>21</v>
      </c>
    </row>
    <row r="48" spans="1:7" x14ac:dyDescent="0.3">
      <c r="A48" s="2">
        <v>47</v>
      </c>
      <c r="B48" s="4">
        <v>20590</v>
      </c>
      <c r="C48" s="3">
        <v>30479</v>
      </c>
      <c r="D48" s="2" t="s">
        <v>16</v>
      </c>
      <c r="E48" s="2" t="s">
        <v>13</v>
      </c>
      <c r="F48" s="2">
        <v>5</v>
      </c>
      <c r="G48" s="2">
        <v>23</v>
      </c>
    </row>
    <row r="49" spans="1:7" x14ac:dyDescent="0.3">
      <c r="A49" s="2">
        <v>48</v>
      </c>
      <c r="B49" s="4">
        <v>22183</v>
      </c>
      <c r="C49" s="3">
        <v>10938</v>
      </c>
      <c r="D49" s="2" t="s">
        <v>12</v>
      </c>
      <c r="E49" s="2" t="s">
        <v>14</v>
      </c>
      <c r="F49" s="2">
        <v>5</v>
      </c>
      <c r="G49" s="2">
        <v>24</v>
      </c>
    </row>
    <row r="50" spans="1:7" x14ac:dyDescent="0.3">
      <c r="A50" s="2">
        <v>49</v>
      </c>
      <c r="B50" s="4">
        <v>4250</v>
      </c>
      <c r="C50" s="3">
        <v>93184</v>
      </c>
      <c r="D50" s="2" t="s">
        <v>12</v>
      </c>
      <c r="E50" s="2" t="s">
        <v>14</v>
      </c>
      <c r="F50" s="2">
        <v>5</v>
      </c>
      <c r="G50" s="2">
        <v>11</v>
      </c>
    </row>
    <row r="51" spans="1:7" x14ac:dyDescent="0.3">
      <c r="A51" s="2">
        <v>50</v>
      </c>
      <c r="B51" s="4">
        <v>6900</v>
      </c>
      <c r="C51" s="3">
        <v>99500</v>
      </c>
      <c r="D51" s="2" t="s">
        <v>11</v>
      </c>
      <c r="E51" s="2" t="s">
        <v>14</v>
      </c>
      <c r="F51" s="2">
        <v>5</v>
      </c>
      <c r="G51" s="2">
        <v>16</v>
      </c>
    </row>
    <row r="52" spans="1:7" x14ac:dyDescent="0.3">
      <c r="A52" s="2">
        <v>51</v>
      </c>
      <c r="B52" s="4">
        <v>24560</v>
      </c>
      <c r="C52" s="3">
        <v>5636</v>
      </c>
      <c r="D52" s="2" t="s">
        <v>12</v>
      </c>
      <c r="E52" s="2" t="s">
        <v>14</v>
      </c>
      <c r="F52" s="2">
        <v>5</v>
      </c>
      <c r="G52" s="2">
        <v>25</v>
      </c>
    </row>
    <row r="53" spans="1:7" x14ac:dyDescent="0.3">
      <c r="A53" s="2">
        <v>52</v>
      </c>
      <c r="B53" s="4">
        <v>1195</v>
      </c>
      <c r="C53" s="3">
        <v>198000</v>
      </c>
      <c r="D53" s="2" t="s">
        <v>11</v>
      </c>
      <c r="E53" s="2" t="s">
        <v>14</v>
      </c>
      <c r="F53" s="2">
        <v>5</v>
      </c>
      <c r="G53" s="2">
        <v>14</v>
      </c>
    </row>
    <row r="54" spans="1:7" x14ac:dyDescent="0.3">
      <c r="A54" s="2">
        <v>53</v>
      </c>
      <c r="B54" s="4">
        <v>19700</v>
      </c>
      <c r="C54" s="3">
        <v>26025</v>
      </c>
      <c r="D54" s="2" t="s">
        <v>11</v>
      </c>
      <c r="E54" s="2" t="s">
        <v>13</v>
      </c>
      <c r="F54" s="2">
        <v>5</v>
      </c>
      <c r="G54" s="2">
        <v>23</v>
      </c>
    </row>
    <row r="55" spans="1:7" x14ac:dyDescent="0.3">
      <c r="A55" s="2">
        <v>54</v>
      </c>
      <c r="B55" s="4">
        <v>17149</v>
      </c>
      <c r="C55" s="3">
        <v>47787</v>
      </c>
      <c r="D55" s="2" t="s">
        <v>16</v>
      </c>
      <c r="E55" s="2" t="s">
        <v>13</v>
      </c>
      <c r="F55" s="2">
        <v>5</v>
      </c>
      <c r="G55" s="2">
        <v>22</v>
      </c>
    </row>
    <row r="56" spans="1:7" x14ac:dyDescent="0.3">
      <c r="A56" s="2">
        <v>55</v>
      </c>
      <c r="B56" s="4">
        <v>4495</v>
      </c>
      <c r="C56" s="3">
        <v>137185</v>
      </c>
      <c r="D56" s="2" t="s">
        <v>11</v>
      </c>
      <c r="E56" s="2" t="s">
        <v>14</v>
      </c>
      <c r="F56" s="2">
        <v>5</v>
      </c>
      <c r="G56" s="2">
        <v>16</v>
      </c>
    </row>
    <row r="57" spans="1:7" x14ac:dyDescent="0.3">
      <c r="A57" s="2">
        <v>56</v>
      </c>
      <c r="B57" s="4">
        <v>28300</v>
      </c>
      <c r="C57" s="3">
        <v>4791</v>
      </c>
      <c r="D57" s="2" t="s">
        <v>17</v>
      </c>
      <c r="E57" s="2" t="s">
        <v>13</v>
      </c>
      <c r="F57" s="2">
        <v>5</v>
      </c>
      <c r="G57" s="2">
        <v>25</v>
      </c>
    </row>
    <row r="58" spans="1:7" x14ac:dyDescent="0.3">
      <c r="A58" s="2">
        <v>57</v>
      </c>
      <c r="B58" s="4">
        <v>12000</v>
      </c>
      <c r="C58" s="3">
        <v>50600</v>
      </c>
      <c r="D58" s="2" t="s">
        <v>12</v>
      </c>
      <c r="E58" s="2" t="s">
        <v>13</v>
      </c>
      <c r="F58" s="2">
        <v>5</v>
      </c>
      <c r="G58" s="2">
        <v>17</v>
      </c>
    </row>
    <row r="59" spans="1:7" x14ac:dyDescent="0.3">
      <c r="A59" s="2">
        <v>58</v>
      </c>
      <c r="B59" s="4">
        <v>21940</v>
      </c>
      <c r="C59" s="3">
        <v>12340</v>
      </c>
      <c r="D59" s="2" t="s">
        <v>16</v>
      </c>
      <c r="E59" s="2" t="s">
        <v>13</v>
      </c>
      <c r="F59" s="2">
        <v>5</v>
      </c>
      <c r="G59" s="2">
        <v>23</v>
      </c>
    </row>
    <row r="60" spans="1:7" x14ac:dyDescent="0.3">
      <c r="A60" s="2">
        <v>59</v>
      </c>
      <c r="B60" s="4">
        <v>17550</v>
      </c>
      <c r="C60" s="3">
        <v>13193</v>
      </c>
      <c r="D60" s="2" t="s">
        <v>12</v>
      </c>
      <c r="E60" s="2" t="s">
        <v>14</v>
      </c>
      <c r="F60" s="2">
        <v>5</v>
      </c>
      <c r="G60" s="2">
        <v>22</v>
      </c>
    </row>
    <row r="61" spans="1:7" x14ac:dyDescent="0.3">
      <c r="A61" s="2">
        <v>60</v>
      </c>
      <c r="B61" s="4">
        <v>19699</v>
      </c>
      <c r="C61" s="3">
        <v>24903</v>
      </c>
      <c r="D61" s="2" t="s">
        <v>16</v>
      </c>
      <c r="E61" s="2" t="s">
        <v>13</v>
      </c>
      <c r="F61" s="2">
        <v>5</v>
      </c>
      <c r="G61" s="2">
        <v>21</v>
      </c>
    </row>
    <row r="62" spans="1:7" x14ac:dyDescent="0.3">
      <c r="A62" s="2">
        <v>61</v>
      </c>
      <c r="B62" s="4">
        <v>1250</v>
      </c>
      <c r="C62" s="3">
        <v>171088</v>
      </c>
      <c r="D62" s="2" t="s">
        <v>11</v>
      </c>
      <c r="E62" s="2" t="s">
        <v>14</v>
      </c>
      <c r="F62" s="2">
        <v>5</v>
      </c>
      <c r="G62" s="2">
        <v>11</v>
      </c>
    </row>
    <row r="63" spans="1:7" x14ac:dyDescent="0.3">
      <c r="A63" s="2">
        <v>62</v>
      </c>
      <c r="B63" s="4">
        <v>16939</v>
      </c>
      <c r="C63" s="3">
        <v>21942</v>
      </c>
      <c r="D63" s="2" t="s">
        <v>12</v>
      </c>
      <c r="E63" s="2" t="s">
        <v>13</v>
      </c>
      <c r="F63" s="2">
        <v>5</v>
      </c>
      <c r="G63" s="2">
        <v>21</v>
      </c>
    </row>
    <row r="64" spans="1:7" x14ac:dyDescent="0.3">
      <c r="A64" s="2">
        <v>63</v>
      </c>
      <c r="B64" s="4">
        <v>7990</v>
      </c>
      <c r="C64" s="3">
        <v>134000</v>
      </c>
      <c r="D64" s="2" t="s">
        <v>17</v>
      </c>
      <c r="E64" s="2" t="s">
        <v>13</v>
      </c>
      <c r="F64" s="2">
        <v>5</v>
      </c>
      <c r="G64" s="2">
        <v>17</v>
      </c>
    </row>
    <row r="65" spans="1:7" x14ac:dyDescent="0.3">
      <c r="A65" s="2">
        <v>64</v>
      </c>
      <c r="B65" s="4">
        <v>5500</v>
      </c>
      <c r="C65" s="3">
        <v>149000</v>
      </c>
      <c r="D65" s="2" t="s">
        <v>11</v>
      </c>
      <c r="E65" s="2" t="s">
        <v>14</v>
      </c>
      <c r="F65" s="2">
        <v>5</v>
      </c>
      <c r="G65" s="2">
        <v>18</v>
      </c>
    </row>
    <row r="66" spans="1:7" x14ac:dyDescent="0.3">
      <c r="A66" s="2">
        <v>65</v>
      </c>
      <c r="B66" s="4">
        <v>10900</v>
      </c>
      <c r="C66" s="3">
        <v>62000</v>
      </c>
      <c r="D66" s="2" t="s">
        <v>12</v>
      </c>
      <c r="E66" s="2" t="s">
        <v>14</v>
      </c>
      <c r="F66" s="2">
        <v>5</v>
      </c>
      <c r="G66" s="2">
        <v>17</v>
      </c>
    </row>
    <row r="67" spans="1:7" x14ac:dyDescent="0.3">
      <c r="A67" s="2">
        <v>66</v>
      </c>
      <c r="B67" s="4">
        <v>15200</v>
      </c>
      <c r="C67" s="3">
        <v>35297</v>
      </c>
      <c r="D67" s="2" t="s">
        <v>12</v>
      </c>
      <c r="E67" s="2" t="s">
        <v>14</v>
      </c>
      <c r="F67" s="2">
        <v>5</v>
      </c>
      <c r="G67" s="2">
        <v>22</v>
      </c>
    </row>
    <row r="68" spans="1:7" x14ac:dyDescent="0.3">
      <c r="A68" s="2">
        <v>67</v>
      </c>
      <c r="B68" s="4">
        <v>7989</v>
      </c>
      <c r="C68" s="3">
        <v>110000</v>
      </c>
      <c r="D68" s="2" t="s">
        <v>11</v>
      </c>
      <c r="E68" s="2" t="s">
        <v>13</v>
      </c>
      <c r="F68" s="2">
        <v>5</v>
      </c>
      <c r="G68" s="2">
        <v>18</v>
      </c>
    </row>
    <row r="69" spans="1:7" x14ac:dyDescent="0.3">
      <c r="A69" s="2">
        <v>68</v>
      </c>
      <c r="B69" s="4">
        <v>23500</v>
      </c>
      <c r="C69" s="3">
        <v>4861</v>
      </c>
      <c r="D69" s="2" t="s">
        <v>12</v>
      </c>
      <c r="E69" s="2" t="s">
        <v>14</v>
      </c>
      <c r="F69" s="2">
        <v>5</v>
      </c>
      <c r="G69" s="2">
        <v>25</v>
      </c>
    </row>
    <row r="70" spans="1:7" x14ac:dyDescent="0.3">
      <c r="A70" s="2">
        <v>69</v>
      </c>
      <c r="B70" s="4">
        <v>10195</v>
      </c>
      <c r="C70" s="3">
        <v>72802</v>
      </c>
      <c r="D70" s="2" t="s">
        <v>17</v>
      </c>
      <c r="E70" s="2" t="s">
        <v>13</v>
      </c>
      <c r="F70" s="2">
        <v>5</v>
      </c>
      <c r="G70" s="2">
        <v>16</v>
      </c>
    </row>
    <row r="71" spans="1:7" x14ac:dyDescent="0.3">
      <c r="A71" s="2">
        <v>70</v>
      </c>
      <c r="B71" s="4">
        <v>7450</v>
      </c>
      <c r="C71" s="3">
        <v>80400</v>
      </c>
      <c r="D71" s="2" t="s">
        <v>12</v>
      </c>
      <c r="E71" s="2" t="s">
        <v>14</v>
      </c>
      <c r="F71" s="2">
        <v>5</v>
      </c>
      <c r="G71" s="2">
        <v>17</v>
      </c>
    </row>
    <row r="72" spans="1:7" x14ac:dyDescent="0.3">
      <c r="A72" s="2">
        <v>71</v>
      </c>
      <c r="B72" s="4">
        <v>13990</v>
      </c>
      <c r="C72" s="3">
        <v>109000</v>
      </c>
      <c r="D72" s="2" t="s">
        <v>12</v>
      </c>
      <c r="E72" s="2" t="s">
        <v>13</v>
      </c>
      <c r="F72" s="2">
        <v>5</v>
      </c>
      <c r="G72" s="2">
        <v>17</v>
      </c>
    </row>
    <row r="73" spans="1:7" x14ac:dyDescent="0.3">
      <c r="A73" s="2">
        <v>72</v>
      </c>
      <c r="B73" s="4">
        <v>12500</v>
      </c>
      <c r="C73" s="3">
        <v>75000</v>
      </c>
      <c r="D73" s="2" t="s">
        <v>12</v>
      </c>
      <c r="E73" s="2" t="s">
        <v>13</v>
      </c>
      <c r="F73" s="2">
        <v>5</v>
      </c>
      <c r="G73" s="2">
        <v>12</v>
      </c>
    </row>
    <row r="74" spans="1:7" x14ac:dyDescent="0.3">
      <c r="A74" s="2">
        <v>73</v>
      </c>
      <c r="B74" s="4">
        <v>37500</v>
      </c>
      <c r="C74" s="3">
        <v>4718</v>
      </c>
      <c r="D74" s="2" t="s">
        <v>12</v>
      </c>
      <c r="E74" s="2" t="s">
        <v>13</v>
      </c>
      <c r="F74" s="2">
        <v>5</v>
      </c>
      <c r="G74" s="2">
        <v>25</v>
      </c>
    </row>
    <row r="75" spans="1:7" x14ac:dyDescent="0.3">
      <c r="A75" s="2">
        <v>74</v>
      </c>
      <c r="B75" s="4">
        <v>10500</v>
      </c>
      <c r="C75" s="3">
        <v>12000</v>
      </c>
      <c r="D75" s="2" t="s">
        <v>12</v>
      </c>
      <c r="E75" s="2" t="s">
        <v>13</v>
      </c>
      <c r="F75" s="2">
        <v>5</v>
      </c>
      <c r="G75" s="2">
        <v>17</v>
      </c>
    </row>
    <row r="76" spans="1:7" x14ac:dyDescent="0.3">
      <c r="A76" s="2">
        <v>75</v>
      </c>
      <c r="B76" s="4">
        <v>2395</v>
      </c>
      <c r="C76" s="3">
        <v>138633</v>
      </c>
      <c r="D76" s="2" t="s">
        <v>12</v>
      </c>
      <c r="E76" s="2" t="s">
        <v>14</v>
      </c>
      <c r="F76" s="2">
        <v>5</v>
      </c>
      <c r="G76" s="2">
        <v>10</v>
      </c>
    </row>
    <row r="77" spans="1:7" x14ac:dyDescent="0.3">
      <c r="A77" s="2">
        <v>76</v>
      </c>
      <c r="B77" s="4">
        <v>18099</v>
      </c>
      <c r="C77" s="3">
        <v>58194</v>
      </c>
      <c r="D77" s="2" t="s">
        <v>16</v>
      </c>
      <c r="E77" s="2" t="s">
        <v>13</v>
      </c>
      <c r="F77" s="2">
        <v>5</v>
      </c>
      <c r="G77" s="2">
        <v>22</v>
      </c>
    </row>
    <row r="78" spans="1:7" x14ac:dyDescent="0.3">
      <c r="A78" s="2">
        <v>77</v>
      </c>
      <c r="B78" s="4">
        <v>6950</v>
      </c>
      <c r="C78" s="3">
        <v>84000</v>
      </c>
      <c r="D78" s="2" t="s">
        <v>11</v>
      </c>
      <c r="E78" s="2" t="s">
        <v>14</v>
      </c>
      <c r="F78" s="2">
        <v>5</v>
      </c>
      <c r="G78" s="2">
        <v>14</v>
      </c>
    </row>
    <row r="79" spans="1:7" x14ac:dyDescent="0.3">
      <c r="A79" s="2">
        <v>78</v>
      </c>
      <c r="B79" s="4">
        <v>6950</v>
      </c>
      <c r="C79" s="3">
        <v>140000</v>
      </c>
      <c r="D79" s="2" t="s">
        <v>11</v>
      </c>
      <c r="E79" s="2" t="s">
        <v>14</v>
      </c>
      <c r="F79" s="2">
        <v>5</v>
      </c>
      <c r="G79" s="2">
        <v>14</v>
      </c>
    </row>
    <row r="80" spans="1:7" x14ac:dyDescent="0.3">
      <c r="A80" s="2">
        <v>79</v>
      </c>
      <c r="B80" s="4">
        <v>17697</v>
      </c>
      <c r="C80" s="3">
        <v>8923</v>
      </c>
      <c r="D80" s="2" t="s">
        <v>16</v>
      </c>
      <c r="E80" s="2" t="s">
        <v>13</v>
      </c>
      <c r="F80" s="2">
        <v>5</v>
      </c>
      <c r="G80" s="2">
        <v>20</v>
      </c>
    </row>
    <row r="81" spans="1:7" x14ac:dyDescent="0.3">
      <c r="A81" s="2">
        <v>80</v>
      </c>
      <c r="B81" s="4">
        <v>21897</v>
      </c>
      <c r="C81" s="3">
        <v>6441</v>
      </c>
      <c r="D81" s="2" t="s">
        <v>12</v>
      </c>
      <c r="E81" s="2" t="s">
        <v>14</v>
      </c>
      <c r="F81" s="2">
        <v>5</v>
      </c>
      <c r="G81" s="2">
        <v>24</v>
      </c>
    </row>
    <row r="82" spans="1:7" x14ac:dyDescent="0.3">
      <c r="A82" s="2">
        <v>81</v>
      </c>
      <c r="B82" s="4">
        <v>3695</v>
      </c>
      <c r="C82" s="3">
        <v>65849</v>
      </c>
      <c r="D82" s="2" t="s">
        <v>12</v>
      </c>
      <c r="E82" s="2" t="s">
        <v>14</v>
      </c>
      <c r="F82" s="2">
        <v>5</v>
      </c>
      <c r="G82" s="2">
        <v>9</v>
      </c>
    </row>
    <row r="83" spans="1:7" x14ac:dyDescent="0.3">
      <c r="A83" s="2">
        <v>82</v>
      </c>
      <c r="B83" s="4">
        <v>23990</v>
      </c>
      <c r="C83" s="3">
        <v>60000</v>
      </c>
      <c r="D83" s="2" t="s">
        <v>11</v>
      </c>
      <c r="E83" s="2" t="s">
        <v>13</v>
      </c>
      <c r="F83" s="2">
        <v>5</v>
      </c>
      <c r="G83" s="2">
        <v>22</v>
      </c>
    </row>
    <row r="84" spans="1:7" x14ac:dyDescent="0.3">
      <c r="A84" s="2">
        <v>83</v>
      </c>
      <c r="B84" s="4">
        <v>9990</v>
      </c>
      <c r="C84" s="3">
        <v>82000</v>
      </c>
      <c r="D84" s="2" t="s">
        <v>12</v>
      </c>
      <c r="E84" s="2" t="s">
        <v>13</v>
      </c>
      <c r="F84" s="2">
        <v>5</v>
      </c>
      <c r="G84" s="2">
        <v>7</v>
      </c>
    </row>
    <row r="85" spans="1:7" x14ac:dyDescent="0.3">
      <c r="A85" s="2">
        <v>84</v>
      </c>
      <c r="B85" s="4">
        <v>9295</v>
      </c>
      <c r="C85" s="3">
        <v>92000</v>
      </c>
      <c r="D85" s="2" t="s">
        <v>11</v>
      </c>
      <c r="E85" s="2" t="s">
        <v>13</v>
      </c>
      <c r="F85" s="2">
        <v>5</v>
      </c>
      <c r="G85" s="2">
        <v>18</v>
      </c>
    </row>
    <row r="86" spans="1:7" x14ac:dyDescent="0.3">
      <c r="A86" s="2">
        <v>85</v>
      </c>
      <c r="B86" s="4">
        <v>10934</v>
      </c>
      <c r="C86" s="3">
        <v>84565</v>
      </c>
      <c r="D86" s="2" t="s">
        <v>17</v>
      </c>
      <c r="E86" s="2" t="s">
        <v>13</v>
      </c>
      <c r="F86" s="2">
        <v>5</v>
      </c>
      <c r="G86" s="2">
        <v>18</v>
      </c>
    </row>
    <row r="87" spans="1:7" x14ac:dyDescent="0.3">
      <c r="A87" s="2">
        <v>86</v>
      </c>
      <c r="B87" s="4">
        <v>34997</v>
      </c>
      <c r="C87" s="3">
        <v>2867</v>
      </c>
      <c r="D87" s="2" t="s">
        <v>12</v>
      </c>
      <c r="E87" s="2" t="s">
        <v>13</v>
      </c>
      <c r="F87" s="2">
        <v>5</v>
      </c>
      <c r="G87" s="2">
        <v>25</v>
      </c>
    </row>
    <row r="88" spans="1:7" x14ac:dyDescent="0.3">
      <c r="A88" s="2">
        <v>87</v>
      </c>
      <c r="B88" s="4">
        <v>15995</v>
      </c>
      <c r="C88" s="3">
        <v>40511</v>
      </c>
      <c r="D88" s="2" t="s">
        <v>12</v>
      </c>
      <c r="E88" s="2" t="s">
        <v>14</v>
      </c>
      <c r="F88" s="2">
        <v>5</v>
      </c>
      <c r="G88" s="2">
        <v>22</v>
      </c>
    </row>
    <row r="89" spans="1:7" x14ac:dyDescent="0.3">
      <c r="A89" s="2">
        <v>88</v>
      </c>
      <c r="B89" s="4">
        <v>2350</v>
      </c>
      <c r="C89" s="3">
        <v>118456</v>
      </c>
      <c r="D89" s="2" t="s">
        <v>11</v>
      </c>
      <c r="E89" s="2" t="s">
        <v>14</v>
      </c>
      <c r="F89" s="2">
        <v>5</v>
      </c>
      <c r="G89" s="2">
        <v>12</v>
      </c>
    </row>
    <row r="90" spans="1:7" x14ac:dyDescent="0.3">
      <c r="A90" s="2">
        <v>89</v>
      </c>
      <c r="B90" s="4">
        <v>12609</v>
      </c>
      <c r="C90" s="3">
        <v>49652</v>
      </c>
      <c r="D90" s="2" t="s">
        <v>11</v>
      </c>
      <c r="E90" s="2" t="s">
        <v>14</v>
      </c>
      <c r="F90" s="2">
        <v>5</v>
      </c>
      <c r="G90" s="2">
        <v>19</v>
      </c>
    </row>
    <row r="91" spans="1:7" x14ac:dyDescent="0.3">
      <c r="A91" s="2">
        <v>90</v>
      </c>
      <c r="B91" s="4">
        <v>19299</v>
      </c>
      <c r="C91" s="3">
        <v>28164</v>
      </c>
      <c r="D91" s="2" t="s">
        <v>16</v>
      </c>
      <c r="E91" s="2" t="s">
        <v>13</v>
      </c>
      <c r="F91" s="2">
        <v>5</v>
      </c>
      <c r="G91" s="2">
        <v>21</v>
      </c>
    </row>
    <row r="92" spans="1:7" x14ac:dyDescent="0.3">
      <c r="A92" s="2">
        <v>91</v>
      </c>
      <c r="B92" s="4">
        <v>9749</v>
      </c>
      <c r="C92" s="3">
        <v>49163</v>
      </c>
      <c r="D92" s="2" t="s">
        <v>11</v>
      </c>
      <c r="E92" s="2" t="s">
        <v>13</v>
      </c>
      <c r="F92" s="2">
        <v>5</v>
      </c>
      <c r="G92" s="2">
        <v>15</v>
      </c>
    </row>
    <row r="93" spans="1:7" x14ac:dyDescent="0.3">
      <c r="A93" s="2">
        <v>92</v>
      </c>
      <c r="B93" s="4">
        <v>24461</v>
      </c>
      <c r="C93" s="3">
        <v>31425</v>
      </c>
      <c r="D93" s="2" t="s">
        <v>11</v>
      </c>
      <c r="E93" s="2" t="s">
        <v>13</v>
      </c>
      <c r="F93" s="2">
        <v>5</v>
      </c>
      <c r="G93" s="2">
        <v>21</v>
      </c>
    </row>
    <row r="94" spans="1:7" x14ac:dyDescent="0.3">
      <c r="A94" s="2">
        <v>93</v>
      </c>
      <c r="B94" s="4">
        <v>4990</v>
      </c>
      <c r="C94" s="3">
        <v>124000</v>
      </c>
      <c r="D94" s="2" t="s">
        <v>12</v>
      </c>
      <c r="E94" s="2" t="s">
        <v>14</v>
      </c>
      <c r="F94" s="2">
        <v>5</v>
      </c>
      <c r="G94" s="2">
        <v>15</v>
      </c>
    </row>
    <row r="95" spans="1:7" x14ac:dyDescent="0.3">
      <c r="A95" s="2">
        <v>94</v>
      </c>
      <c r="B95" s="4">
        <v>8495</v>
      </c>
      <c r="C95" s="3">
        <v>63215</v>
      </c>
      <c r="D95" s="2" t="s">
        <v>11</v>
      </c>
      <c r="E95" s="2" t="s">
        <v>13</v>
      </c>
      <c r="F95" s="2">
        <v>5</v>
      </c>
      <c r="G95" s="2">
        <v>17</v>
      </c>
    </row>
    <row r="96" spans="1:7" x14ac:dyDescent="0.3">
      <c r="A96" s="2">
        <v>95</v>
      </c>
      <c r="B96" s="4">
        <v>4999</v>
      </c>
      <c r="C96" s="3">
        <v>109000</v>
      </c>
      <c r="D96" s="2" t="s">
        <v>11</v>
      </c>
      <c r="E96" s="2" t="s">
        <v>14</v>
      </c>
      <c r="F96" s="2">
        <v>5</v>
      </c>
      <c r="G96" s="2">
        <v>9</v>
      </c>
    </row>
    <row r="97" spans="1:7" x14ac:dyDescent="0.3">
      <c r="A97" s="2">
        <v>96</v>
      </c>
      <c r="B97" s="4">
        <v>36400</v>
      </c>
      <c r="C97" s="3">
        <v>2701</v>
      </c>
      <c r="D97" s="2" t="s">
        <v>12</v>
      </c>
      <c r="E97" s="2" t="s">
        <v>13</v>
      </c>
      <c r="F97" s="2">
        <v>5</v>
      </c>
      <c r="G97" s="2">
        <v>25</v>
      </c>
    </row>
    <row r="98" spans="1:7" x14ac:dyDescent="0.3">
      <c r="A98" s="2">
        <v>97</v>
      </c>
      <c r="B98" s="4">
        <v>18975</v>
      </c>
      <c r="C98" s="3">
        <v>47189</v>
      </c>
      <c r="D98" s="2" t="s">
        <v>16</v>
      </c>
      <c r="E98" s="2" t="s">
        <v>13</v>
      </c>
      <c r="F98" s="2">
        <v>5</v>
      </c>
      <c r="G98" s="2">
        <v>21</v>
      </c>
    </row>
    <row r="99" spans="1:7" x14ac:dyDescent="0.3">
      <c r="A99" s="2">
        <v>98</v>
      </c>
      <c r="B99" s="4">
        <v>15549</v>
      </c>
      <c r="C99" s="3">
        <v>40982</v>
      </c>
      <c r="D99" s="2" t="s">
        <v>12</v>
      </c>
      <c r="E99" s="2" t="s">
        <v>13</v>
      </c>
      <c r="F99" s="2">
        <v>5</v>
      </c>
      <c r="G99" s="2">
        <v>20</v>
      </c>
    </row>
    <row r="100" spans="1:7" x14ac:dyDescent="0.3">
      <c r="A100" s="2">
        <v>99</v>
      </c>
      <c r="B100" s="4">
        <v>11995</v>
      </c>
      <c r="C100" s="3">
        <v>91513</v>
      </c>
      <c r="D100" s="2" t="s">
        <v>11</v>
      </c>
      <c r="E100" s="2" t="s">
        <v>13</v>
      </c>
      <c r="F100" s="2">
        <v>5</v>
      </c>
      <c r="G100" s="2">
        <v>18</v>
      </c>
    </row>
  </sheetData>
  <autoFilter ref="A1:G100" xr:uid="{071B1327-63D5-40D0-AA0E-73560CCE0622}">
    <sortState xmlns:xlrd2="http://schemas.microsoft.com/office/spreadsheetml/2017/richdata2" ref="A2:G100">
      <sortCondition ref="A1:A100"/>
    </sortState>
  </autoFilter>
  <sortState xmlns:xlrd2="http://schemas.microsoft.com/office/spreadsheetml/2017/richdata2" ref="A2:A593">
    <sortCondition ref="A1:A593"/>
  </sortState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2320D98-9373-4B3D-B182-82BABF9F86F3}">
  <dimension ref="A1:B6"/>
  <sheetViews>
    <sheetView workbookViewId="0">
      <selection activeCell="E21" sqref="E21"/>
    </sheetView>
  </sheetViews>
  <sheetFormatPr defaultRowHeight="14.4" x14ac:dyDescent="0.3"/>
  <cols>
    <col min="2" max="2" width="14.77734375" style="19" bestFit="1" customWidth="1"/>
  </cols>
  <sheetData>
    <row r="1" spans="1:2" x14ac:dyDescent="0.3">
      <c r="A1" s="16" t="s">
        <v>94</v>
      </c>
      <c r="B1" s="18" t="s">
        <v>80</v>
      </c>
    </row>
    <row r="2" spans="1:2" x14ac:dyDescent="0.3">
      <c r="A2" s="15" t="s">
        <v>95</v>
      </c>
      <c r="B2" s="19">
        <v>4609</v>
      </c>
    </row>
    <row r="3" spans="1:2" x14ac:dyDescent="0.3">
      <c r="A3" s="15" t="s">
        <v>96</v>
      </c>
      <c r="B3" s="19">
        <v>4936.363636363636</v>
      </c>
    </row>
    <row r="4" spans="1:2" x14ac:dyDescent="0.3">
      <c r="A4" s="15" t="s">
        <v>97</v>
      </c>
      <c r="B4" s="19">
        <v>12156.103448275862</v>
      </c>
    </row>
    <row r="5" spans="1:2" x14ac:dyDescent="0.3">
      <c r="A5" s="15" t="s">
        <v>98</v>
      </c>
      <c r="B5" s="19">
        <v>20970.853658536584</v>
      </c>
    </row>
    <row r="6" spans="1:2" x14ac:dyDescent="0.3">
      <c r="A6" s="15" t="s">
        <v>99</v>
      </c>
      <c r="B6" s="19">
        <v>34129.75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99334FE-6762-4055-BAB1-C82809F75A58}">
  <dimension ref="A1:B8"/>
  <sheetViews>
    <sheetView workbookViewId="0">
      <selection activeCell="A2" sqref="A2"/>
    </sheetView>
  </sheetViews>
  <sheetFormatPr defaultRowHeight="14.4" x14ac:dyDescent="0.3"/>
  <cols>
    <col min="1" max="1" width="10.33203125" bestFit="1" customWidth="1"/>
    <col min="2" max="2" width="14.77734375" style="19" bestFit="1" customWidth="1"/>
  </cols>
  <sheetData>
    <row r="1" spans="1:2" x14ac:dyDescent="0.3">
      <c r="A1" s="16" t="s">
        <v>20</v>
      </c>
      <c r="B1" s="18" t="s">
        <v>80</v>
      </c>
    </row>
    <row r="2" spans="1:2" x14ac:dyDescent="0.3">
      <c r="A2" s="15" t="s">
        <v>35</v>
      </c>
      <c r="B2" s="19">
        <v>19045.09375</v>
      </c>
    </row>
    <row r="3" spans="1:2" x14ac:dyDescent="0.3">
      <c r="A3" s="15" t="s">
        <v>30</v>
      </c>
      <c r="B3" s="19">
        <v>14819.388888888889</v>
      </c>
    </row>
    <row r="4" spans="1:2" x14ac:dyDescent="0.3">
      <c r="A4" s="15" t="s">
        <v>38</v>
      </c>
      <c r="B4" s="19">
        <v>13647.7</v>
      </c>
    </row>
    <row r="5" spans="1:2" x14ac:dyDescent="0.3">
      <c r="A5" s="15" t="s">
        <v>45</v>
      </c>
      <c r="B5" s="19">
        <v>10777.666666666666</v>
      </c>
    </row>
    <row r="6" spans="1:2" x14ac:dyDescent="0.3">
      <c r="A6" s="15" t="s">
        <v>23</v>
      </c>
      <c r="B6" s="19">
        <v>12576.857142857143</v>
      </c>
    </row>
    <row r="7" spans="1:2" x14ac:dyDescent="0.3">
      <c r="A7" s="15" t="s">
        <v>43</v>
      </c>
      <c r="B7" s="19">
        <v>16466.476190476191</v>
      </c>
    </row>
    <row r="8" spans="1:2" x14ac:dyDescent="0.3">
      <c r="A8" s="15" t="s">
        <v>59</v>
      </c>
      <c r="B8" s="19">
        <v>11747.5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1A828A8-8597-406A-8869-93673B70BD06}">
  <dimension ref="A3:C21"/>
  <sheetViews>
    <sheetView workbookViewId="0">
      <selection activeCell="C4" sqref="C4"/>
    </sheetView>
  </sheetViews>
  <sheetFormatPr defaultRowHeight="14.4" x14ac:dyDescent="0.3"/>
  <cols>
    <col min="1" max="1" width="13.77734375" bestFit="1" customWidth="1"/>
    <col min="2" max="2" width="14.77734375" style="19" bestFit="1" customWidth="1"/>
    <col min="3" max="3" width="29.44140625" customWidth="1"/>
  </cols>
  <sheetData>
    <row r="3" spans="1:3" x14ac:dyDescent="0.3">
      <c r="A3" s="14" t="s">
        <v>94</v>
      </c>
      <c r="B3" s="19" t="s">
        <v>80</v>
      </c>
    </row>
    <row r="4" spans="1:3" x14ac:dyDescent="0.3">
      <c r="A4" s="15" t="s">
        <v>100</v>
      </c>
      <c r="B4" s="19">
        <v>33703.666666666664</v>
      </c>
      <c r="C4">
        <f>GETPIVOTDATA("Price",$A$3,"Mileage",0)-GETPIVOTDATA("Price",$A$3,"Mileage",10000)</f>
        <v>8261.6666666666642</v>
      </c>
    </row>
    <row r="5" spans="1:3" x14ac:dyDescent="0.3">
      <c r="A5" s="15" t="s">
        <v>101</v>
      </c>
      <c r="B5" s="19">
        <v>25442</v>
      </c>
      <c r="C5">
        <f t="shared" ref="C5:C20" si="0">GETPIVOTDATA("Price",$A$3,"Mileage",0)-GETPIVOTDATA("Price",$A$3,"Mileage",10000)</f>
        <v>8261.6666666666642</v>
      </c>
    </row>
    <row r="6" spans="1:3" x14ac:dyDescent="0.3">
      <c r="A6" s="15" t="s">
        <v>102</v>
      </c>
      <c r="B6" s="19">
        <v>20677.285714285714</v>
      </c>
      <c r="C6">
        <f t="shared" si="0"/>
        <v>8261.6666666666642</v>
      </c>
    </row>
    <row r="7" spans="1:3" x14ac:dyDescent="0.3">
      <c r="A7" s="15" t="s">
        <v>103</v>
      </c>
      <c r="B7" s="19">
        <v>16151.444444444445</v>
      </c>
      <c r="C7">
        <f t="shared" si="0"/>
        <v>8261.6666666666642</v>
      </c>
    </row>
    <row r="8" spans="1:3" x14ac:dyDescent="0.3">
      <c r="A8" s="15" t="s">
        <v>104</v>
      </c>
      <c r="B8" s="19">
        <v>16716</v>
      </c>
      <c r="C8">
        <f t="shared" si="0"/>
        <v>8261.6666666666642</v>
      </c>
    </row>
    <row r="9" spans="1:3" x14ac:dyDescent="0.3">
      <c r="A9" s="15" t="s">
        <v>105</v>
      </c>
      <c r="B9" s="19">
        <v>13884.142857142857</v>
      </c>
      <c r="C9">
        <f t="shared" si="0"/>
        <v>8261.6666666666642</v>
      </c>
    </row>
    <row r="10" spans="1:3" x14ac:dyDescent="0.3">
      <c r="A10" s="15" t="s">
        <v>106</v>
      </c>
      <c r="B10" s="19">
        <v>11409</v>
      </c>
      <c r="C10">
        <f t="shared" si="0"/>
        <v>8261.6666666666642</v>
      </c>
    </row>
    <row r="11" spans="1:3" x14ac:dyDescent="0.3">
      <c r="A11" s="15" t="s">
        <v>107</v>
      </c>
      <c r="B11" s="19">
        <v>9896.3333333333339</v>
      </c>
      <c r="C11">
        <f t="shared" si="0"/>
        <v>8261.6666666666642</v>
      </c>
    </row>
    <row r="12" spans="1:3" x14ac:dyDescent="0.3">
      <c r="A12" s="15" t="s">
        <v>108</v>
      </c>
      <c r="B12" s="19">
        <v>9226.3333333333339</v>
      </c>
      <c r="C12">
        <f t="shared" si="0"/>
        <v>8261.6666666666642</v>
      </c>
    </row>
    <row r="13" spans="1:3" x14ac:dyDescent="0.3">
      <c r="A13" s="15" t="s">
        <v>109</v>
      </c>
      <c r="B13" s="19">
        <v>9930</v>
      </c>
      <c r="C13">
        <f t="shared" si="0"/>
        <v>8261.6666666666642</v>
      </c>
    </row>
    <row r="14" spans="1:3" x14ac:dyDescent="0.3">
      <c r="A14" s="15" t="s">
        <v>110</v>
      </c>
      <c r="B14" s="19">
        <v>9988</v>
      </c>
      <c r="C14">
        <f t="shared" si="0"/>
        <v>8261.6666666666642</v>
      </c>
    </row>
    <row r="15" spans="1:3" x14ac:dyDescent="0.3">
      <c r="A15" s="15" t="s">
        <v>111</v>
      </c>
      <c r="B15" s="19">
        <v>4046.25</v>
      </c>
      <c r="C15">
        <f t="shared" si="0"/>
        <v>8261.6666666666642</v>
      </c>
    </row>
    <row r="16" spans="1:3" x14ac:dyDescent="0.3">
      <c r="A16" s="15" t="s">
        <v>112</v>
      </c>
      <c r="B16" s="19">
        <v>4205</v>
      </c>
      <c r="C16">
        <f t="shared" si="0"/>
        <v>8261.6666666666642</v>
      </c>
    </row>
    <row r="17" spans="1:3" x14ac:dyDescent="0.3">
      <c r="A17" s="15" t="s">
        <v>113</v>
      </c>
      <c r="B17" s="19">
        <v>5128.333333333333</v>
      </c>
      <c r="C17">
        <f t="shared" si="0"/>
        <v>8261.6666666666642</v>
      </c>
    </row>
    <row r="18" spans="1:3" x14ac:dyDescent="0.3">
      <c r="A18" s="15" t="s">
        <v>114</v>
      </c>
      <c r="B18" s="19">
        <v>6700</v>
      </c>
      <c r="C18">
        <f t="shared" si="0"/>
        <v>8261.6666666666642</v>
      </c>
    </row>
    <row r="19" spans="1:3" x14ac:dyDescent="0.3">
      <c r="A19" s="15" t="s">
        <v>116</v>
      </c>
      <c r="B19" s="19">
        <v>4295</v>
      </c>
      <c r="C19">
        <f t="shared" si="0"/>
        <v>8261.6666666666642</v>
      </c>
    </row>
    <row r="20" spans="1:3" x14ac:dyDescent="0.3">
      <c r="A20" s="15" t="s">
        <v>117</v>
      </c>
      <c r="B20" s="19">
        <v>4690</v>
      </c>
      <c r="C20">
        <f t="shared" si="0"/>
        <v>8261.6666666666642</v>
      </c>
    </row>
    <row r="21" spans="1:3" x14ac:dyDescent="0.3">
      <c r="A21" s="15" t="s">
        <v>79</v>
      </c>
      <c r="B21" s="19">
        <v>15903.69</v>
      </c>
    </row>
  </sheetData>
  <pageMargins left="0.7" right="0.7" top="0.75" bottom="0.75" header="0.3" footer="0.3"/>
  <pageSetup orientation="portrait"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B7724D5-7258-44BC-A9D9-CF4D540AD261}">
  <dimension ref="A1:B6"/>
  <sheetViews>
    <sheetView workbookViewId="0">
      <selection activeCell="G29" sqref="G29"/>
    </sheetView>
  </sheetViews>
  <sheetFormatPr defaultRowHeight="14.4" x14ac:dyDescent="0.3"/>
  <cols>
    <col min="1" max="1" width="8.88671875" style="2"/>
    <col min="2" max="2" width="14.77734375" style="2" bestFit="1" customWidth="1"/>
  </cols>
  <sheetData>
    <row r="1" spans="1:2" x14ac:dyDescent="0.3">
      <c r="A1" s="21" t="s">
        <v>94</v>
      </c>
      <c r="B1" s="22" t="s">
        <v>80</v>
      </c>
    </row>
    <row r="2" spans="1:2" x14ac:dyDescent="0.3">
      <c r="A2" s="2" t="s">
        <v>34</v>
      </c>
      <c r="B2" s="13">
        <v>15454.142857142857</v>
      </c>
    </row>
    <row r="3" spans="1:2" x14ac:dyDescent="0.3">
      <c r="A3" s="2" t="s">
        <v>28</v>
      </c>
      <c r="B3" s="13">
        <v>8100.875</v>
      </c>
    </row>
    <row r="4" spans="1:2" x14ac:dyDescent="0.3">
      <c r="A4" s="2" t="s">
        <v>37</v>
      </c>
      <c r="B4" s="13">
        <v>20387</v>
      </c>
    </row>
    <row r="5" spans="1:2" x14ac:dyDescent="0.3">
      <c r="A5" s="2" t="s">
        <v>22</v>
      </c>
      <c r="B5" s="13">
        <v>7301.8571428571431</v>
      </c>
    </row>
    <row r="6" spans="1:2" x14ac:dyDescent="0.3">
      <c r="A6" s="2" t="s">
        <v>31</v>
      </c>
      <c r="B6" s="13">
        <v>19405.846153846152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034EE14-C5B0-4523-810D-087A06868FDD}">
  <dimension ref="A1:M101"/>
  <sheetViews>
    <sheetView topLeftCell="D83" workbookViewId="0">
      <selection activeCell="D4" sqref="D4:D95"/>
    </sheetView>
  </sheetViews>
  <sheetFormatPr defaultRowHeight="14.4" x14ac:dyDescent="0.3"/>
  <cols>
    <col min="1" max="1" width="8.44140625" bestFit="1" customWidth="1"/>
    <col min="2" max="2" width="9.44140625" style="5" bestFit="1" customWidth="1"/>
    <col min="3" max="3" width="13" bestFit="1" customWidth="1"/>
    <col min="4" max="4" width="12.109375" bestFit="1" customWidth="1"/>
    <col min="5" max="5" width="9.44140625" bestFit="1" customWidth="1"/>
    <col min="6" max="6" width="14.44140625" bestFit="1" customWidth="1"/>
    <col min="7" max="7" width="24.77734375" bestFit="1" customWidth="1"/>
    <col min="8" max="8" width="15.5546875" bestFit="1" customWidth="1"/>
    <col min="9" max="9" width="14.33203125" bestFit="1" customWidth="1"/>
    <col min="10" max="10" width="9.88671875" bestFit="1" customWidth="1"/>
    <col min="11" max="11" width="12.6640625" bestFit="1" customWidth="1"/>
    <col min="12" max="12" width="10.88671875" bestFit="1" customWidth="1"/>
    <col min="13" max="13" width="19.44140625" bestFit="1" customWidth="1"/>
  </cols>
  <sheetData>
    <row r="1" spans="1:13" x14ac:dyDescent="0.3">
      <c r="A1" s="6" t="s">
        <v>15</v>
      </c>
      <c r="B1" s="7" t="s">
        <v>5</v>
      </c>
      <c r="C1" s="8" t="s">
        <v>6</v>
      </c>
      <c r="D1" s="6" t="s">
        <v>7</v>
      </c>
      <c r="E1" s="6" t="s">
        <v>8</v>
      </c>
      <c r="F1" s="6" t="s">
        <v>124</v>
      </c>
      <c r="G1" s="6" t="s">
        <v>115</v>
      </c>
      <c r="H1" s="6" t="s">
        <v>18</v>
      </c>
      <c r="I1" s="6" t="s">
        <v>19</v>
      </c>
      <c r="J1" s="6" t="s">
        <v>20</v>
      </c>
      <c r="K1" s="6" t="s">
        <v>93</v>
      </c>
      <c r="L1" s="6" t="s">
        <v>24</v>
      </c>
      <c r="M1" s="6" t="s">
        <v>92</v>
      </c>
    </row>
    <row r="2" spans="1:13" x14ac:dyDescent="0.3">
      <c r="A2" s="9">
        <v>295</v>
      </c>
      <c r="B2" s="10">
        <v>9999</v>
      </c>
      <c r="C2" s="11">
        <v>100439</v>
      </c>
      <c r="D2" s="9" t="s">
        <v>12</v>
      </c>
      <c r="E2" s="9" t="s">
        <v>13</v>
      </c>
      <c r="F2" s="9">
        <f ca="1">YEAR(TODAY()) -M2</f>
        <v>18</v>
      </c>
      <c r="G2" s="9" t="s">
        <v>63</v>
      </c>
      <c r="H2" s="9" t="s">
        <v>26</v>
      </c>
      <c r="I2" s="9">
        <v>2</v>
      </c>
      <c r="J2" s="9" t="s">
        <v>38</v>
      </c>
      <c r="K2" s="9" t="s">
        <v>27</v>
      </c>
      <c r="L2" s="9">
        <v>8</v>
      </c>
      <c r="M2" s="9">
        <v>2008</v>
      </c>
    </row>
    <row r="3" spans="1:13" x14ac:dyDescent="0.3">
      <c r="A3" s="9">
        <v>10</v>
      </c>
      <c r="B3" s="10">
        <v>4295</v>
      </c>
      <c r="C3" s="11">
        <v>160000</v>
      </c>
      <c r="D3" s="9" t="s">
        <v>11</v>
      </c>
      <c r="E3" s="9" t="s">
        <v>13</v>
      </c>
      <c r="F3" s="9">
        <f t="shared" ref="F3:F66" ca="1" si="0">YEAR(TODAY()) -M3</f>
        <v>10</v>
      </c>
      <c r="G3" s="9" t="s">
        <v>64</v>
      </c>
      <c r="H3" s="9" t="s">
        <v>26</v>
      </c>
      <c r="I3" s="9">
        <v>2</v>
      </c>
      <c r="J3" s="9" t="s">
        <v>35</v>
      </c>
      <c r="K3" s="9" t="s">
        <v>27</v>
      </c>
      <c r="L3" s="9">
        <v>5</v>
      </c>
      <c r="M3" s="9">
        <v>2016</v>
      </c>
    </row>
    <row r="4" spans="1:13" x14ac:dyDescent="0.3">
      <c r="A4" s="9">
        <v>14</v>
      </c>
      <c r="B4" s="10">
        <v>19399</v>
      </c>
      <c r="C4" s="11">
        <v>31738</v>
      </c>
      <c r="D4" s="9" t="s">
        <v>86</v>
      </c>
      <c r="E4" s="9" t="s">
        <v>13</v>
      </c>
      <c r="F4" s="9">
        <f t="shared" ca="1" si="0"/>
        <v>5</v>
      </c>
      <c r="G4" s="9" t="s">
        <v>49</v>
      </c>
      <c r="H4" s="9" t="s">
        <v>26</v>
      </c>
      <c r="I4" s="9">
        <v>1.5</v>
      </c>
      <c r="J4" s="9" t="s">
        <v>35</v>
      </c>
      <c r="K4" s="9" t="s">
        <v>27</v>
      </c>
      <c r="L4" s="9">
        <v>1</v>
      </c>
      <c r="M4" s="9">
        <v>2021</v>
      </c>
    </row>
    <row r="5" spans="1:13" x14ac:dyDescent="0.3">
      <c r="A5" s="9">
        <v>17</v>
      </c>
      <c r="B5" s="10">
        <v>4985</v>
      </c>
      <c r="C5" s="11">
        <v>85652</v>
      </c>
      <c r="D5" s="9" t="s">
        <v>12</v>
      </c>
      <c r="E5" s="9" t="s">
        <v>21</v>
      </c>
      <c r="F5" s="9">
        <f t="shared" ca="1" si="0"/>
        <v>17</v>
      </c>
      <c r="G5" s="9" t="s">
        <v>52</v>
      </c>
      <c r="H5" s="9" t="s">
        <v>26</v>
      </c>
      <c r="I5" s="9">
        <v>1.4</v>
      </c>
      <c r="J5" s="9" t="s">
        <v>43</v>
      </c>
      <c r="K5" s="9" t="s">
        <v>27</v>
      </c>
      <c r="L5" s="9">
        <v>8</v>
      </c>
      <c r="M5" s="9">
        <v>2009</v>
      </c>
    </row>
    <row r="6" spans="1:13" x14ac:dyDescent="0.3">
      <c r="A6" s="9">
        <v>315</v>
      </c>
      <c r="B6" s="10">
        <v>3875</v>
      </c>
      <c r="C6" s="11">
        <v>122000</v>
      </c>
      <c r="D6" s="9" t="s">
        <v>11</v>
      </c>
      <c r="E6" s="9" t="s">
        <v>21</v>
      </c>
      <c r="F6" s="9">
        <f t="shared" ca="1" si="0"/>
        <v>17</v>
      </c>
      <c r="G6" s="9" t="s">
        <v>76</v>
      </c>
      <c r="H6" s="9" t="s">
        <v>26</v>
      </c>
      <c r="I6" s="9">
        <v>1.6</v>
      </c>
      <c r="J6" s="9" t="s">
        <v>30</v>
      </c>
      <c r="K6" s="9" t="s">
        <v>27</v>
      </c>
      <c r="L6" s="9">
        <v>8</v>
      </c>
      <c r="M6" s="9">
        <v>2009</v>
      </c>
    </row>
    <row r="7" spans="1:13" x14ac:dyDescent="0.3">
      <c r="A7" s="9">
        <v>24</v>
      </c>
      <c r="B7" s="10">
        <v>28000</v>
      </c>
      <c r="C7" s="11">
        <v>4791</v>
      </c>
      <c r="D7" s="9" t="s">
        <v>17</v>
      </c>
      <c r="E7" s="9" t="s">
        <v>13</v>
      </c>
      <c r="F7" s="9">
        <v>1</v>
      </c>
      <c r="G7" s="9" t="s">
        <v>70</v>
      </c>
      <c r="H7" s="9" t="s">
        <v>26</v>
      </c>
      <c r="I7" s="9">
        <v>1.5</v>
      </c>
      <c r="J7" s="9" t="s">
        <v>43</v>
      </c>
      <c r="K7" s="9" t="s">
        <v>27</v>
      </c>
      <c r="L7" s="9">
        <v>1</v>
      </c>
      <c r="M7" s="9">
        <v>2025</v>
      </c>
    </row>
    <row r="8" spans="1:13" x14ac:dyDescent="0.3">
      <c r="A8" s="9">
        <v>28</v>
      </c>
      <c r="B8" s="10">
        <v>32464</v>
      </c>
      <c r="C8" s="11">
        <v>11383</v>
      </c>
      <c r="D8" s="9" t="s">
        <v>12</v>
      </c>
      <c r="E8" s="9" t="s">
        <v>13</v>
      </c>
      <c r="F8" s="9">
        <f t="shared" ca="1" si="0"/>
        <v>3</v>
      </c>
      <c r="G8" s="9" t="s">
        <v>58</v>
      </c>
      <c r="H8" s="9" t="s">
        <v>50</v>
      </c>
      <c r="I8" s="9">
        <v>2</v>
      </c>
      <c r="J8" s="9" t="s">
        <v>30</v>
      </c>
      <c r="K8" s="9" t="s">
        <v>27</v>
      </c>
      <c r="L8" s="9">
        <v>1</v>
      </c>
      <c r="M8" s="9">
        <v>2023</v>
      </c>
    </row>
    <row r="9" spans="1:13" x14ac:dyDescent="0.3">
      <c r="A9" s="9">
        <v>46</v>
      </c>
      <c r="B9" s="10">
        <v>19250</v>
      </c>
      <c r="C9" s="11">
        <v>88283</v>
      </c>
      <c r="D9" s="9" t="s">
        <v>12</v>
      </c>
      <c r="E9" s="9" t="s">
        <v>21</v>
      </c>
      <c r="F9" s="9">
        <f t="shared" ca="1" si="0"/>
        <v>5</v>
      </c>
      <c r="G9" s="9" t="s">
        <v>67</v>
      </c>
      <c r="H9" s="9" t="s">
        <v>26</v>
      </c>
      <c r="I9" s="9">
        <v>2</v>
      </c>
      <c r="J9" s="9" t="s">
        <v>43</v>
      </c>
      <c r="K9" s="9" t="s">
        <v>47</v>
      </c>
      <c r="L9" s="9">
        <v>1</v>
      </c>
      <c r="M9" s="9">
        <v>2021</v>
      </c>
    </row>
    <row r="10" spans="1:13" x14ac:dyDescent="0.3">
      <c r="A10" s="9">
        <v>391</v>
      </c>
      <c r="B10" s="10">
        <v>6700</v>
      </c>
      <c r="C10" s="11">
        <v>141424</v>
      </c>
      <c r="D10" s="9" t="s">
        <v>12</v>
      </c>
      <c r="E10" s="9" t="s">
        <v>21</v>
      </c>
      <c r="F10" s="9">
        <f t="shared" ca="1" si="0"/>
        <v>17</v>
      </c>
      <c r="G10" s="9" t="s">
        <v>40</v>
      </c>
      <c r="H10" s="9" t="s">
        <v>26</v>
      </c>
      <c r="I10" s="9">
        <v>1.4</v>
      </c>
      <c r="J10" s="9" t="s">
        <v>38</v>
      </c>
      <c r="K10" s="9" t="s">
        <v>27</v>
      </c>
      <c r="L10" s="9">
        <v>4</v>
      </c>
      <c r="M10" s="9">
        <v>2009</v>
      </c>
    </row>
    <row r="11" spans="1:13" x14ac:dyDescent="0.3">
      <c r="A11" s="9">
        <v>64</v>
      </c>
      <c r="B11" s="10">
        <v>20475</v>
      </c>
      <c r="C11" s="11">
        <v>44000</v>
      </c>
      <c r="D11" s="9" t="s">
        <v>12</v>
      </c>
      <c r="E11" s="9" t="s">
        <v>13</v>
      </c>
      <c r="F11" s="9">
        <f t="shared" ca="1" si="0"/>
        <v>9</v>
      </c>
      <c r="G11" s="9" t="s">
        <v>65</v>
      </c>
      <c r="H11" s="9" t="s">
        <v>50</v>
      </c>
      <c r="I11" s="9">
        <v>2</v>
      </c>
      <c r="J11" s="9" t="s">
        <v>43</v>
      </c>
      <c r="K11" s="9" t="s">
        <v>27</v>
      </c>
      <c r="L11" s="9">
        <v>2</v>
      </c>
      <c r="M11" s="9">
        <v>2017</v>
      </c>
    </row>
    <row r="12" spans="1:13" x14ac:dyDescent="0.3">
      <c r="A12" s="9">
        <v>72</v>
      </c>
      <c r="B12" s="10">
        <v>12495</v>
      </c>
      <c r="C12" s="11">
        <v>58000</v>
      </c>
      <c r="D12" s="9" t="s">
        <v>11</v>
      </c>
      <c r="E12" s="9" t="s">
        <v>13</v>
      </c>
      <c r="F12" s="9">
        <f t="shared" ca="1" si="0"/>
        <v>7</v>
      </c>
      <c r="G12" s="9" t="s">
        <v>33</v>
      </c>
      <c r="H12" s="9" t="s">
        <v>26</v>
      </c>
      <c r="I12" s="9">
        <v>2</v>
      </c>
      <c r="J12" s="9" t="s">
        <v>30</v>
      </c>
      <c r="K12" s="9" t="s">
        <v>27</v>
      </c>
      <c r="L12" s="9">
        <v>4</v>
      </c>
      <c r="M12" s="9">
        <v>2019</v>
      </c>
    </row>
    <row r="13" spans="1:13" x14ac:dyDescent="0.3">
      <c r="A13" s="9">
        <v>78</v>
      </c>
      <c r="B13" s="10">
        <v>33434</v>
      </c>
      <c r="C13" s="11">
        <v>11815</v>
      </c>
      <c r="D13" s="9" t="s">
        <v>12</v>
      </c>
      <c r="E13" s="9" t="s">
        <v>13</v>
      </c>
      <c r="F13" s="9">
        <f t="shared" ca="1" si="0"/>
        <v>3</v>
      </c>
      <c r="G13" s="9" t="s">
        <v>58</v>
      </c>
      <c r="H13" s="9" t="s">
        <v>50</v>
      </c>
      <c r="I13" s="9">
        <v>2</v>
      </c>
      <c r="J13" s="9" t="s">
        <v>35</v>
      </c>
      <c r="K13" s="9" t="s">
        <v>27</v>
      </c>
      <c r="L13" s="9">
        <v>1</v>
      </c>
      <c r="M13" s="9">
        <v>2023</v>
      </c>
    </row>
    <row r="14" spans="1:13" x14ac:dyDescent="0.3">
      <c r="A14" s="9">
        <v>99</v>
      </c>
      <c r="B14" s="10">
        <v>6950</v>
      </c>
      <c r="C14" s="11">
        <v>38000</v>
      </c>
      <c r="D14" s="9" t="s">
        <v>12</v>
      </c>
      <c r="E14" s="9" t="s">
        <v>21</v>
      </c>
      <c r="F14" s="9">
        <f t="shared" ca="1" si="0"/>
        <v>9</v>
      </c>
      <c r="G14" s="12" t="s">
        <v>36</v>
      </c>
      <c r="H14" s="9" t="s">
        <v>26</v>
      </c>
      <c r="I14" s="9">
        <v>1.4</v>
      </c>
      <c r="J14" s="9" t="s">
        <v>23</v>
      </c>
      <c r="K14" s="9" t="s">
        <v>27</v>
      </c>
      <c r="L14" s="9">
        <v>7</v>
      </c>
      <c r="M14" s="9">
        <v>2017</v>
      </c>
    </row>
    <row r="15" spans="1:13" x14ac:dyDescent="0.3">
      <c r="A15" s="9">
        <v>102</v>
      </c>
      <c r="B15" s="10">
        <v>30295</v>
      </c>
      <c r="C15" s="9">
        <v>1200</v>
      </c>
      <c r="D15" s="9" t="s">
        <v>17</v>
      </c>
      <c r="E15" s="9" t="s">
        <v>13</v>
      </c>
      <c r="F15" s="9">
        <f t="shared" ca="1" si="0"/>
        <v>2</v>
      </c>
      <c r="G15" s="9" t="s">
        <v>71</v>
      </c>
      <c r="H15" s="9" t="s">
        <v>26</v>
      </c>
      <c r="I15" s="9">
        <v>1.5</v>
      </c>
      <c r="J15" s="9" t="s">
        <v>30</v>
      </c>
      <c r="K15" s="9" t="s">
        <v>27</v>
      </c>
      <c r="L15" s="9">
        <v>1</v>
      </c>
      <c r="M15" s="9">
        <v>2024</v>
      </c>
    </row>
    <row r="16" spans="1:13" x14ac:dyDescent="0.3">
      <c r="A16" s="9">
        <v>107</v>
      </c>
      <c r="B16" s="10">
        <v>12609</v>
      </c>
      <c r="C16" s="11">
        <v>49652</v>
      </c>
      <c r="D16" s="9" t="s">
        <v>11</v>
      </c>
      <c r="E16" s="9" t="s">
        <v>21</v>
      </c>
      <c r="F16" s="9">
        <f t="shared" ca="1" si="0"/>
        <v>7</v>
      </c>
      <c r="G16" s="9" t="s">
        <v>73</v>
      </c>
      <c r="H16" s="9" t="s">
        <v>26</v>
      </c>
      <c r="I16" s="9">
        <v>1.6</v>
      </c>
      <c r="J16" s="9" t="s">
        <v>35</v>
      </c>
      <c r="K16" s="9" t="s">
        <v>27</v>
      </c>
      <c r="L16" s="9">
        <v>2</v>
      </c>
      <c r="M16" s="9">
        <v>2019</v>
      </c>
    </row>
    <row r="17" spans="1:13" x14ac:dyDescent="0.3">
      <c r="A17" s="9">
        <v>116</v>
      </c>
      <c r="B17" s="10">
        <v>24750</v>
      </c>
      <c r="C17" s="11">
        <v>59000</v>
      </c>
      <c r="D17" s="9" t="s">
        <v>12</v>
      </c>
      <c r="E17" s="9" t="s">
        <v>13</v>
      </c>
      <c r="F17" s="9">
        <f t="shared" ca="1" si="0"/>
        <v>5</v>
      </c>
      <c r="G17" s="9" t="s">
        <v>53</v>
      </c>
      <c r="H17" s="9" t="s">
        <v>26</v>
      </c>
      <c r="I17" s="9">
        <v>2</v>
      </c>
      <c r="J17" s="9" t="s">
        <v>38</v>
      </c>
      <c r="K17" s="9" t="s">
        <v>47</v>
      </c>
      <c r="L17" s="9">
        <v>3</v>
      </c>
      <c r="M17" s="9">
        <v>2021</v>
      </c>
    </row>
    <row r="18" spans="1:13" x14ac:dyDescent="0.3">
      <c r="A18" s="9">
        <v>120</v>
      </c>
      <c r="B18" s="10">
        <v>7495</v>
      </c>
      <c r="C18" s="11">
        <v>106287</v>
      </c>
      <c r="D18" s="9" t="s">
        <v>11</v>
      </c>
      <c r="E18" s="9" t="s">
        <v>13</v>
      </c>
      <c r="F18" s="9">
        <f t="shared" ca="1" si="0"/>
        <v>8</v>
      </c>
      <c r="G18" s="9" t="s">
        <v>36</v>
      </c>
      <c r="H18" s="9" t="s">
        <v>26</v>
      </c>
      <c r="I18" s="9">
        <v>1.6</v>
      </c>
      <c r="J18" s="9" t="s">
        <v>59</v>
      </c>
      <c r="K18" s="9" t="s">
        <v>27</v>
      </c>
      <c r="L18" s="9">
        <v>3</v>
      </c>
      <c r="M18" s="9">
        <v>2018</v>
      </c>
    </row>
    <row r="19" spans="1:13" x14ac:dyDescent="0.3">
      <c r="A19" s="9">
        <v>136</v>
      </c>
      <c r="B19" s="10">
        <v>31176</v>
      </c>
      <c r="C19" s="11">
        <v>19958</v>
      </c>
      <c r="D19" s="9" t="s">
        <v>12</v>
      </c>
      <c r="E19" s="9" t="s">
        <v>13</v>
      </c>
      <c r="F19" s="9">
        <f t="shared" ca="1" si="0"/>
        <v>3</v>
      </c>
      <c r="G19" s="9" t="s">
        <v>58</v>
      </c>
      <c r="H19" s="9" t="s">
        <v>50</v>
      </c>
      <c r="I19" s="9">
        <v>2</v>
      </c>
      <c r="J19" s="9" t="s">
        <v>35</v>
      </c>
      <c r="K19" s="9" t="s">
        <v>27</v>
      </c>
      <c r="L19" s="9">
        <v>1</v>
      </c>
      <c r="M19" s="9">
        <v>2023</v>
      </c>
    </row>
    <row r="20" spans="1:13" x14ac:dyDescent="0.3">
      <c r="A20" s="9">
        <v>151</v>
      </c>
      <c r="B20" s="10">
        <v>16167</v>
      </c>
      <c r="C20" s="11">
        <v>89714</v>
      </c>
      <c r="D20" s="9" t="s">
        <v>11</v>
      </c>
      <c r="E20" s="9" t="s">
        <v>13</v>
      </c>
      <c r="F20" s="9">
        <f t="shared" ca="1" si="0"/>
        <v>4</v>
      </c>
      <c r="G20" s="9" t="s">
        <v>41</v>
      </c>
      <c r="H20" s="9" t="s">
        <v>26</v>
      </c>
      <c r="I20" s="9">
        <v>2</v>
      </c>
      <c r="J20" s="9" t="s">
        <v>35</v>
      </c>
      <c r="K20" s="9" t="s">
        <v>47</v>
      </c>
      <c r="L20" s="9">
        <v>2</v>
      </c>
      <c r="M20" s="9">
        <v>2022</v>
      </c>
    </row>
    <row r="21" spans="1:13" x14ac:dyDescent="0.3">
      <c r="A21" s="9">
        <v>155</v>
      </c>
      <c r="B21" s="10">
        <v>5000</v>
      </c>
      <c r="C21" s="11">
        <v>130000</v>
      </c>
      <c r="D21" s="9" t="s">
        <v>11</v>
      </c>
      <c r="E21" s="9" t="s">
        <v>21</v>
      </c>
      <c r="F21" s="9">
        <f t="shared" ca="1" si="0"/>
        <v>10</v>
      </c>
      <c r="G21" s="12" t="s">
        <v>46</v>
      </c>
      <c r="H21" s="9" t="s">
        <v>26</v>
      </c>
      <c r="I21" s="9">
        <v>1.6</v>
      </c>
      <c r="J21" s="9" t="s">
        <v>45</v>
      </c>
      <c r="K21" s="9" t="s">
        <v>27</v>
      </c>
      <c r="L21" s="9">
        <v>3</v>
      </c>
      <c r="M21" s="9">
        <v>2016</v>
      </c>
    </row>
    <row r="22" spans="1:13" x14ac:dyDescent="0.3">
      <c r="A22" s="9">
        <v>161</v>
      </c>
      <c r="B22" s="10">
        <v>11499</v>
      </c>
      <c r="C22" s="11">
        <v>72500</v>
      </c>
      <c r="D22" s="9" t="s">
        <v>12</v>
      </c>
      <c r="E22" s="9" t="s">
        <v>21</v>
      </c>
      <c r="F22" s="9">
        <f t="shared" ca="1" si="0"/>
        <v>5</v>
      </c>
      <c r="G22" s="9" t="s">
        <v>39</v>
      </c>
      <c r="H22" s="9" t="s">
        <v>26</v>
      </c>
      <c r="I22" s="9">
        <v>1.6</v>
      </c>
      <c r="J22" s="9" t="s">
        <v>35</v>
      </c>
      <c r="K22" s="9" t="s">
        <v>27</v>
      </c>
      <c r="L22" s="9">
        <v>2</v>
      </c>
      <c r="M22" s="9">
        <v>2021</v>
      </c>
    </row>
    <row r="23" spans="1:13" x14ac:dyDescent="0.3">
      <c r="A23" s="9">
        <v>169</v>
      </c>
      <c r="B23" s="10">
        <v>14249</v>
      </c>
      <c r="C23" s="11">
        <v>68706</v>
      </c>
      <c r="D23" s="9" t="s">
        <v>12</v>
      </c>
      <c r="E23" s="9" t="s">
        <v>21</v>
      </c>
      <c r="F23" s="9">
        <f t="shared" ca="1" si="0"/>
        <v>4</v>
      </c>
      <c r="G23" s="9" t="s">
        <v>63</v>
      </c>
      <c r="H23" s="9" t="s">
        <v>26</v>
      </c>
      <c r="I23" s="9">
        <v>2</v>
      </c>
      <c r="J23" s="9" t="s">
        <v>38</v>
      </c>
      <c r="K23" s="9" t="s">
        <v>27</v>
      </c>
      <c r="L23" s="9">
        <v>1</v>
      </c>
      <c r="M23" s="9">
        <v>2022</v>
      </c>
    </row>
    <row r="24" spans="1:13" x14ac:dyDescent="0.3">
      <c r="A24" s="9">
        <v>175</v>
      </c>
      <c r="B24" s="10">
        <v>10650</v>
      </c>
      <c r="C24" s="11">
        <v>59592</v>
      </c>
      <c r="D24" s="9" t="s">
        <v>11</v>
      </c>
      <c r="E24" s="9" t="s">
        <v>13</v>
      </c>
      <c r="F24" s="9">
        <f t="shared" ca="1" si="0"/>
        <v>10</v>
      </c>
      <c r="G24" s="9" t="s">
        <v>57</v>
      </c>
      <c r="H24" s="9" t="s">
        <v>26</v>
      </c>
      <c r="I24" s="9">
        <v>1.6</v>
      </c>
      <c r="J24" s="9" t="s">
        <v>23</v>
      </c>
      <c r="K24" s="9" t="s">
        <v>47</v>
      </c>
      <c r="L24" s="9">
        <v>3</v>
      </c>
      <c r="M24" s="9">
        <v>2016</v>
      </c>
    </row>
    <row r="25" spans="1:13" x14ac:dyDescent="0.3">
      <c r="A25" s="9">
        <v>413</v>
      </c>
      <c r="B25" s="10">
        <v>4985</v>
      </c>
      <c r="C25" s="11">
        <v>85652</v>
      </c>
      <c r="D25" s="9" t="s">
        <v>12</v>
      </c>
      <c r="E25" s="9" t="s">
        <v>21</v>
      </c>
      <c r="F25" s="9">
        <f t="shared" ca="1" si="0"/>
        <v>17</v>
      </c>
      <c r="G25" s="9" t="s">
        <v>52</v>
      </c>
      <c r="H25" s="9" t="s">
        <v>26</v>
      </c>
      <c r="I25" s="9">
        <v>1.4</v>
      </c>
      <c r="J25" s="9" t="s">
        <v>43</v>
      </c>
      <c r="K25" s="9" t="s">
        <v>27</v>
      </c>
      <c r="L25" s="9">
        <v>6</v>
      </c>
      <c r="M25" s="9">
        <v>2009</v>
      </c>
    </row>
    <row r="26" spans="1:13" x14ac:dyDescent="0.3">
      <c r="A26" s="9">
        <v>431</v>
      </c>
      <c r="B26" s="10">
        <v>3295</v>
      </c>
      <c r="C26" s="11">
        <v>81512</v>
      </c>
      <c r="D26" s="9" t="s">
        <v>12</v>
      </c>
      <c r="E26" s="9" t="s">
        <v>21</v>
      </c>
      <c r="F26" s="9">
        <f t="shared" ca="1" si="0"/>
        <v>17</v>
      </c>
      <c r="G26" s="12" t="s">
        <v>42</v>
      </c>
      <c r="H26" s="9" t="s">
        <v>26</v>
      </c>
      <c r="I26" s="9">
        <v>2</v>
      </c>
      <c r="J26" s="9" t="s">
        <v>38</v>
      </c>
      <c r="K26" s="9" t="s">
        <v>27</v>
      </c>
      <c r="L26" s="9">
        <v>5</v>
      </c>
      <c r="M26" s="9">
        <v>2009</v>
      </c>
    </row>
    <row r="27" spans="1:13" x14ac:dyDescent="0.3">
      <c r="A27" s="9">
        <v>182</v>
      </c>
      <c r="B27" s="10">
        <v>19400</v>
      </c>
      <c r="C27" s="11">
        <v>42511</v>
      </c>
      <c r="D27" s="9" t="s">
        <v>86</v>
      </c>
      <c r="E27" s="9" t="s">
        <v>13</v>
      </c>
      <c r="F27" s="9">
        <f t="shared" ca="1" si="0"/>
        <v>3</v>
      </c>
      <c r="G27" s="12" t="s">
        <v>49</v>
      </c>
      <c r="H27" s="9" t="s">
        <v>26</v>
      </c>
      <c r="I27" s="9">
        <v>1.5</v>
      </c>
      <c r="J27" s="9" t="s">
        <v>35</v>
      </c>
      <c r="K27" s="9" t="s">
        <v>27</v>
      </c>
      <c r="L27" s="9">
        <v>1</v>
      </c>
      <c r="M27" s="9">
        <v>2023</v>
      </c>
    </row>
    <row r="28" spans="1:13" x14ac:dyDescent="0.3">
      <c r="A28" s="9">
        <v>183</v>
      </c>
      <c r="B28" s="10">
        <v>13669</v>
      </c>
      <c r="C28" s="11">
        <v>30379</v>
      </c>
      <c r="D28" s="9" t="s">
        <v>11</v>
      </c>
      <c r="E28" s="9" t="s">
        <v>21</v>
      </c>
      <c r="F28" s="9">
        <f t="shared" ca="1" si="0"/>
        <v>7</v>
      </c>
      <c r="G28" s="9" t="s">
        <v>77</v>
      </c>
      <c r="H28" s="9" t="s">
        <v>26</v>
      </c>
      <c r="I28" s="9">
        <v>1.6</v>
      </c>
      <c r="J28" s="9" t="s">
        <v>23</v>
      </c>
      <c r="K28" s="9" t="s">
        <v>27</v>
      </c>
      <c r="L28" s="9">
        <v>2</v>
      </c>
      <c r="M28" s="9">
        <v>2019</v>
      </c>
    </row>
    <row r="29" spans="1:13" x14ac:dyDescent="0.3">
      <c r="A29" s="9">
        <v>570</v>
      </c>
      <c r="B29" s="10">
        <v>3495</v>
      </c>
      <c r="C29" s="11">
        <v>69688</v>
      </c>
      <c r="D29" s="9" t="s">
        <v>11</v>
      </c>
      <c r="E29" s="9" t="s">
        <v>21</v>
      </c>
      <c r="F29" s="9">
        <f t="shared" ca="1" si="0"/>
        <v>17</v>
      </c>
      <c r="G29" s="9" t="s">
        <v>41</v>
      </c>
      <c r="H29" s="9" t="s">
        <v>26</v>
      </c>
      <c r="I29" s="9">
        <v>1.6</v>
      </c>
      <c r="J29" s="9" t="s">
        <v>30</v>
      </c>
      <c r="K29" s="9" t="s">
        <v>27</v>
      </c>
      <c r="L29" s="9">
        <v>8</v>
      </c>
      <c r="M29" s="9">
        <v>2009</v>
      </c>
    </row>
    <row r="30" spans="1:13" x14ac:dyDescent="0.3">
      <c r="A30" s="9">
        <v>195</v>
      </c>
      <c r="B30" s="10">
        <v>10195</v>
      </c>
      <c r="C30" s="11">
        <v>72802</v>
      </c>
      <c r="D30" s="9" t="s">
        <v>17</v>
      </c>
      <c r="E30" s="9" t="s">
        <v>13</v>
      </c>
      <c r="F30" s="9">
        <f t="shared" ca="1" si="0"/>
        <v>10</v>
      </c>
      <c r="G30" s="12" t="s">
        <v>78</v>
      </c>
      <c r="H30" s="9" t="s">
        <v>26</v>
      </c>
      <c r="I30" s="9">
        <v>1.4</v>
      </c>
      <c r="J30" s="9" t="s">
        <v>43</v>
      </c>
      <c r="K30" s="9" t="s">
        <v>27</v>
      </c>
      <c r="L30" s="9">
        <v>2</v>
      </c>
      <c r="M30" s="9">
        <v>2016</v>
      </c>
    </row>
    <row r="31" spans="1:13" x14ac:dyDescent="0.3">
      <c r="A31" s="9">
        <v>595</v>
      </c>
      <c r="B31" s="10">
        <v>4985</v>
      </c>
      <c r="C31" s="11">
        <v>85652</v>
      </c>
      <c r="D31" s="9" t="s">
        <v>12</v>
      </c>
      <c r="E31" s="9" t="s">
        <v>13</v>
      </c>
      <c r="F31" s="9">
        <f t="shared" ca="1" si="0"/>
        <v>17</v>
      </c>
      <c r="G31" s="12" t="s">
        <v>52</v>
      </c>
      <c r="H31" s="9" t="s">
        <v>26</v>
      </c>
      <c r="I31" s="9">
        <v>1.4</v>
      </c>
      <c r="J31" s="9" t="s">
        <v>43</v>
      </c>
      <c r="K31" s="9" t="s">
        <v>27</v>
      </c>
      <c r="L31" s="9">
        <v>5</v>
      </c>
      <c r="M31" s="9">
        <v>2009</v>
      </c>
    </row>
    <row r="32" spans="1:13" x14ac:dyDescent="0.3">
      <c r="A32" s="9">
        <v>227</v>
      </c>
      <c r="B32" s="10">
        <v>17499</v>
      </c>
      <c r="C32" s="11">
        <v>44700</v>
      </c>
      <c r="D32" s="9" t="s">
        <v>12</v>
      </c>
      <c r="E32" s="9" t="s">
        <v>13</v>
      </c>
      <c r="F32" s="9">
        <f t="shared" ca="1" si="0"/>
        <v>10</v>
      </c>
      <c r="G32" s="9" t="s">
        <v>54</v>
      </c>
      <c r="H32" s="9" t="s">
        <v>26</v>
      </c>
      <c r="I32" s="9">
        <v>2</v>
      </c>
      <c r="J32" s="9" t="s">
        <v>35</v>
      </c>
      <c r="K32" s="9" t="s">
        <v>27</v>
      </c>
      <c r="L32" s="9">
        <v>2</v>
      </c>
      <c r="M32" s="9">
        <v>2016</v>
      </c>
    </row>
    <row r="33" spans="1:13" x14ac:dyDescent="0.3">
      <c r="A33" s="9">
        <v>238</v>
      </c>
      <c r="B33" s="10">
        <v>18799</v>
      </c>
      <c r="C33" s="11">
        <v>34441</v>
      </c>
      <c r="D33" s="9" t="s">
        <v>86</v>
      </c>
      <c r="E33" s="9" t="s">
        <v>13</v>
      </c>
      <c r="F33" s="9">
        <f t="shared" ca="1" si="0"/>
        <v>6</v>
      </c>
      <c r="G33" s="9" t="s">
        <v>49</v>
      </c>
      <c r="H33" s="9" t="s">
        <v>26</v>
      </c>
      <c r="I33" s="9">
        <v>1.5</v>
      </c>
      <c r="J33" s="9" t="s">
        <v>35</v>
      </c>
      <c r="K33" s="9" t="s">
        <v>27</v>
      </c>
      <c r="L33" s="9">
        <v>1</v>
      </c>
      <c r="M33" s="9">
        <v>2020</v>
      </c>
    </row>
    <row r="34" spans="1:13" x14ac:dyDescent="0.3">
      <c r="A34" s="9">
        <v>243</v>
      </c>
      <c r="B34" s="10">
        <v>9499</v>
      </c>
      <c r="C34" s="11">
        <v>106322</v>
      </c>
      <c r="D34" s="9" t="s">
        <v>11</v>
      </c>
      <c r="E34" s="9" t="s">
        <v>13</v>
      </c>
      <c r="F34" s="9">
        <f t="shared" ca="1" si="0"/>
        <v>9</v>
      </c>
      <c r="G34" s="9" t="s">
        <v>75</v>
      </c>
      <c r="H34" s="9" t="s">
        <v>26</v>
      </c>
      <c r="I34" s="9">
        <v>1.6</v>
      </c>
      <c r="J34" s="9" t="s">
        <v>38</v>
      </c>
      <c r="K34" s="9" t="s">
        <v>27</v>
      </c>
      <c r="L34" s="9">
        <v>3</v>
      </c>
      <c r="M34" s="9">
        <v>2017</v>
      </c>
    </row>
    <row r="35" spans="1:13" x14ac:dyDescent="0.3">
      <c r="A35" s="9">
        <v>246</v>
      </c>
      <c r="B35" s="10">
        <v>23457</v>
      </c>
      <c r="C35" s="11">
        <v>52441</v>
      </c>
      <c r="D35" s="9" t="s">
        <v>12</v>
      </c>
      <c r="E35" s="9" t="s">
        <v>13</v>
      </c>
      <c r="F35" s="9">
        <f t="shared" ca="1" si="0"/>
        <v>5</v>
      </c>
      <c r="G35" s="12" t="s">
        <v>53</v>
      </c>
      <c r="H35" s="9" t="s">
        <v>26</v>
      </c>
      <c r="I35" s="9">
        <v>2</v>
      </c>
      <c r="J35" s="9" t="s">
        <v>35</v>
      </c>
      <c r="K35" s="9" t="s">
        <v>27</v>
      </c>
      <c r="L35" s="9">
        <v>2</v>
      </c>
      <c r="M35" s="9">
        <v>2021</v>
      </c>
    </row>
    <row r="36" spans="1:13" x14ac:dyDescent="0.3">
      <c r="A36" s="9">
        <v>247</v>
      </c>
      <c r="B36" s="10">
        <v>14900</v>
      </c>
      <c r="C36" s="11">
        <v>34562</v>
      </c>
      <c r="D36" s="9" t="s">
        <v>12</v>
      </c>
      <c r="E36" s="9" t="s">
        <v>21</v>
      </c>
      <c r="F36" s="9">
        <f t="shared" ca="1" si="0"/>
        <v>5</v>
      </c>
      <c r="G36" s="9" t="s">
        <v>62</v>
      </c>
      <c r="H36" s="9" t="s">
        <v>26</v>
      </c>
      <c r="I36" s="9">
        <v>1.5</v>
      </c>
      <c r="J36" s="9" t="s">
        <v>43</v>
      </c>
      <c r="K36" s="9" t="s">
        <v>27</v>
      </c>
      <c r="L36" s="9">
        <v>2</v>
      </c>
      <c r="M36" s="9">
        <v>2021</v>
      </c>
    </row>
    <row r="37" spans="1:13" x14ac:dyDescent="0.3">
      <c r="A37" s="9">
        <v>185</v>
      </c>
      <c r="B37" s="10">
        <v>2995</v>
      </c>
      <c r="C37" s="11">
        <v>112208</v>
      </c>
      <c r="D37" s="9" t="s">
        <v>12</v>
      </c>
      <c r="E37" s="9" t="s">
        <v>21</v>
      </c>
      <c r="F37" s="9">
        <f t="shared" ca="1" si="0"/>
        <v>16</v>
      </c>
      <c r="G37" s="9" t="s">
        <v>29</v>
      </c>
      <c r="H37" s="9" t="s">
        <v>26</v>
      </c>
      <c r="I37" s="9">
        <v>1.4</v>
      </c>
      <c r="J37" s="9" t="s">
        <v>23</v>
      </c>
      <c r="K37" s="9" t="s">
        <v>27</v>
      </c>
      <c r="L37" s="9">
        <v>8</v>
      </c>
      <c r="M37" s="9">
        <v>2010</v>
      </c>
    </row>
    <row r="38" spans="1:13" x14ac:dyDescent="0.3">
      <c r="A38" s="9">
        <v>255</v>
      </c>
      <c r="B38" s="10">
        <v>31983</v>
      </c>
      <c r="C38" s="11">
        <v>14748</v>
      </c>
      <c r="D38" s="9" t="s">
        <v>12</v>
      </c>
      <c r="E38" s="9" t="s">
        <v>13</v>
      </c>
      <c r="F38" s="9">
        <f t="shared" ca="1" si="0"/>
        <v>3</v>
      </c>
      <c r="G38" s="9" t="s">
        <v>58</v>
      </c>
      <c r="H38" s="9" t="s">
        <v>50</v>
      </c>
      <c r="I38" s="9">
        <v>2</v>
      </c>
      <c r="J38" s="9" t="s">
        <v>35</v>
      </c>
      <c r="K38" s="9" t="s">
        <v>27</v>
      </c>
      <c r="L38" s="9">
        <v>1</v>
      </c>
      <c r="M38" s="9">
        <v>2023</v>
      </c>
    </row>
    <row r="39" spans="1:13" x14ac:dyDescent="0.3">
      <c r="A39" s="9">
        <v>256</v>
      </c>
      <c r="B39" s="10">
        <v>20499</v>
      </c>
      <c r="C39" s="11">
        <v>25477</v>
      </c>
      <c r="D39" s="9" t="s">
        <v>17</v>
      </c>
      <c r="E39" s="9" t="s">
        <v>13</v>
      </c>
      <c r="F39" s="9">
        <f t="shared" ca="1" si="0"/>
        <v>3</v>
      </c>
      <c r="G39" s="9" t="s">
        <v>69</v>
      </c>
      <c r="H39" s="9" t="s">
        <v>26</v>
      </c>
      <c r="I39" s="9">
        <v>1.4</v>
      </c>
      <c r="J39" s="9" t="s">
        <v>43</v>
      </c>
      <c r="K39" s="9" t="s">
        <v>27</v>
      </c>
      <c r="L39" s="9">
        <v>1</v>
      </c>
      <c r="M39" s="9">
        <v>2023</v>
      </c>
    </row>
    <row r="40" spans="1:13" x14ac:dyDescent="0.3">
      <c r="A40" s="9">
        <v>259</v>
      </c>
      <c r="B40" s="10">
        <v>27000</v>
      </c>
      <c r="C40" s="11">
        <v>2780</v>
      </c>
      <c r="D40" s="9" t="s">
        <v>12</v>
      </c>
      <c r="E40" s="9" t="s">
        <v>21</v>
      </c>
      <c r="F40" s="9">
        <v>1</v>
      </c>
      <c r="G40" s="9" t="s">
        <v>39</v>
      </c>
      <c r="H40" s="9" t="s">
        <v>26</v>
      </c>
      <c r="I40" s="9">
        <v>1.5</v>
      </c>
      <c r="J40" s="9" t="s">
        <v>38</v>
      </c>
      <c r="K40" s="9" t="s">
        <v>27</v>
      </c>
      <c r="L40" s="9">
        <v>1</v>
      </c>
      <c r="M40" s="9">
        <v>2025</v>
      </c>
    </row>
    <row r="41" spans="1:13" x14ac:dyDescent="0.3">
      <c r="A41" s="9">
        <v>260</v>
      </c>
      <c r="B41" s="10">
        <v>27899</v>
      </c>
      <c r="C41" s="11">
        <v>20668</v>
      </c>
      <c r="D41" s="9" t="s">
        <v>12</v>
      </c>
      <c r="E41" s="9" t="s">
        <v>13</v>
      </c>
      <c r="F41" s="9">
        <f t="shared" ca="1" si="0"/>
        <v>3</v>
      </c>
      <c r="G41" s="9" t="s">
        <v>60</v>
      </c>
      <c r="H41" s="9" t="s">
        <v>26</v>
      </c>
      <c r="I41" s="9">
        <v>2</v>
      </c>
      <c r="J41" s="9" t="s">
        <v>43</v>
      </c>
      <c r="K41" s="9" t="s">
        <v>27</v>
      </c>
      <c r="L41" s="9">
        <v>1</v>
      </c>
      <c r="M41" s="9">
        <v>2023</v>
      </c>
    </row>
    <row r="42" spans="1:13" x14ac:dyDescent="0.3">
      <c r="A42" s="9">
        <v>265</v>
      </c>
      <c r="B42" s="10">
        <v>13990</v>
      </c>
      <c r="C42" s="11">
        <v>109000</v>
      </c>
      <c r="D42" s="9" t="s">
        <v>12</v>
      </c>
      <c r="E42" s="9" t="s">
        <v>13</v>
      </c>
      <c r="F42" s="9">
        <f t="shared" ca="1" si="0"/>
        <v>9</v>
      </c>
      <c r="G42" s="9" t="s">
        <v>29</v>
      </c>
      <c r="H42" s="9" t="s">
        <v>26</v>
      </c>
      <c r="I42" s="9">
        <v>2</v>
      </c>
      <c r="J42" s="9" t="s">
        <v>23</v>
      </c>
      <c r="K42" s="9" t="s">
        <v>47</v>
      </c>
      <c r="L42" s="9">
        <v>6</v>
      </c>
      <c r="M42" s="9">
        <v>2017</v>
      </c>
    </row>
    <row r="43" spans="1:13" x14ac:dyDescent="0.3">
      <c r="A43" s="9">
        <v>271</v>
      </c>
      <c r="B43" s="10">
        <v>19999</v>
      </c>
      <c r="C43" s="11">
        <v>30624</v>
      </c>
      <c r="D43" s="9" t="s">
        <v>12</v>
      </c>
      <c r="E43" s="9" t="s">
        <v>21</v>
      </c>
      <c r="F43" s="9">
        <f t="shared" ca="1" si="0"/>
        <v>4</v>
      </c>
      <c r="G43" s="9" t="s">
        <v>49</v>
      </c>
      <c r="H43" s="9" t="s">
        <v>26</v>
      </c>
      <c r="I43" s="9">
        <v>1.5</v>
      </c>
      <c r="J43" s="9" t="s">
        <v>35</v>
      </c>
      <c r="K43" s="9" t="s">
        <v>27</v>
      </c>
      <c r="L43" s="9">
        <v>1</v>
      </c>
      <c r="M43" s="9">
        <v>2022</v>
      </c>
    </row>
    <row r="44" spans="1:13" x14ac:dyDescent="0.3">
      <c r="A44" s="9">
        <v>272</v>
      </c>
      <c r="B44" s="10">
        <v>13995</v>
      </c>
      <c r="C44" s="11">
        <v>82500</v>
      </c>
      <c r="D44" s="9" t="s">
        <v>12</v>
      </c>
      <c r="E44" s="9" t="s">
        <v>21</v>
      </c>
      <c r="F44" s="9">
        <f t="shared" ca="1" si="0"/>
        <v>9</v>
      </c>
      <c r="G44" s="12" t="s">
        <v>48</v>
      </c>
      <c r="H44" s="9" t="s">
        <v>26</v>
      </c>
      <c r="I44" s="9">
        <v>2</v>
      </c>
      <c r="J44" s="9" t="s">
        <v>35</v>
      </c>
      <c r="K44" s="9" t="s">
        <v>47</v>
      </c>
      <c r="L44" s="9">
        <v>2</v>
      </c>
      <c r="M44" s="9">
        <v>2017</v>
      </c>
    </row>
    <row r="45" spans="1:13" x14ac:dyDescent="0.3">
      <c r="A45" s="9">
        <v>277</v>
      </c>
      <c r="B45" s="10">
        <v>17000</v>
      </c>
      <c r="C45" s="11">
        <v>13213</v>
      </c>
      <c r="D45" s="9" t="s">
        <v>12</v>
      </c>
      <c r="E45" s="9" t="s">
        <v>21</v>
      </c>
      <c r="F45" s="9">
        <f t="shared" ca="1" si="0"/>
        <v>3</v>
      </c>
      <c r="G45" s="9" t="s">
        <v>36</v>
      </c>
      <c r="H45" s="9" t="s">
        <v>26</v>
      </c>
      <c r="I45" s="9">
        <v>1.5</v>
      </c>
      <c r="J45" s="9" t="s">
        <v>35</v>
      </c>
      <c r="K45" s="9" t="s">
        <v>27</v>
      </c>
      <c r="L45" s="9">
        <v>1</v>
      </c>
      <c r="M45" s="9">
        <v>2023</v>
      </c>
    </row>
    <row r="46" spans="1:13" x14ac:dyDescent="0.3">
      <c r="A46" s="9">
        <v>338</v>
      </c>
      <c r="B46" s="10">
        <v>2395</v>
      </c>
      <c r="C46" s="11">
        <v>138633</v>
      </c>
      <c r="D46" s="9" t="s">
        <v>12</v>
      </c>
      <c r="E46" s="9" t="s">
        <v>21</v>
      </c>
      <c r="F46" s="9">
        <f t="shared" ca="1" si="0"/>
        <v>16</v>
      </c>
      <c r="G46" s="9" t="s">
        <v>40</v>
      </c>
      <c r="H46" s="9" t="s">
        <v>26</v>
      </c>
      <c r="I46" s="9">
        <v>1.4</v>
      </c>
      <c r="J46" s="9" t="s">
        <v>38</v>
      </c>
      <c r="K46" s="9" t="s">
        <v>27</v>
      </c>
      <c r="L46" s="9">
        <v>5</v>
      </c>
      <c r="M46" s="9">
        <v>2010</v>
      </c>
    </row>
    <row r="47" spans="1:13" x14ac:dyDescent="0.3">
      <c r="A47" s="9">
        <v>294</v>
      </c>
      <c r="B47" s="10">
        <v>27000</v>
      </c>
      <c r="C47" s="11">
        <v>2780</v>
      </c>
      <c r="D47" s="9" t="s">
        <v>12</v>
      </c>
      <c r="E47" s="9" t="s">
        <v>21</v>
      </c>
      <c r="F47" s="9">
        <v>1</v>
      </c>
      <c r="G47" s="9" t="s">
        <v>39</v>
      </c>
      <c r="H47" s="9" t="s">
        <v>26</v>
      </c>
      <c r="I47" s="9">
        <v>1.5</v>
      </c>
      <c r="J47" s="9" t="s">
        <v>38</v>
      </c>
      <c r="K47" s="9" t="s">
        <v>27</v>
      </c>
      <c r="L47" s="9">
        <v>1</v>
      </c>
      <c r="M47" s="9">
        <v>2025</v>
      </c>
    </row>
    <row r="48" spans="1:13" x14ac:dyDescent="0.3">
      <c r="A48" s="9">
        <v>178</v>
      </c>
      <c r="B48" s="10">
        <v>2990</v>
      </c>
      <c r="C48" s="11">
        <v>119000</v>
      </c>
      <c r="D48" s="9" t="s">
        <v>11</v>
      </c>
      <c r="E48" s="9" t="s">
        <v>13</v>
      </c>
      <c r="F48" s="9">
        <f t="shared" ca="1" si="0"/>
        <v>16</v>
      </c>
      <c r="G48" s="9" t="s">
        <v>64</v>
      </c>
      <c r="H48" s="9" t="s">
        <v>26</v>
      </c>
      <c r="I48" s="9">
        <v>1.4</v>
      </c>
      <c r="J48" s="9" t="s">
        <v>35</v>
      </c>
      <c r="K48" s="9" t="s">
        <v>27</v>
      </c>
      <c r="L48" s="9">
        <v>8</v>
      </c>
      <c r="M48" s="9">
        <v>2010</v>
      </c>
    </row>
    <row r="49" spans="1:13" x14ac:dyDescent="0.3">
      <c r="A49" s="9">
        <v>298</v>
      </c>
      <c r="B49" s="10">
        <v>22000</v>
      </c>
      <c r="C49" s="11">
        <v>47992</v>
      </c>
      <c r="D49" s="9" t="s">
        <v>12</v>
      </c>
      <c r="E49" s="9" t="s">
        <v>13</v>
      </c>
      <c r="F49" s="9">
        <f t="shared" ca="1" si="0"/>
        <v>5</v>
      </c>
      <c r="G49" s="12" t="s">
        <v>53</v>
      </c>
      <c r="H49" s="9" t="s">
        <v>26</v>
      </c>
      <c r="I49" s="9">
        <v>2</v>
      </c>
      <c r="J49" s="9" t="s">
        <v>35</v>
      </c>
      <c r="K49" s="9" t="s">
        <v>27</v>
      </c>
      <c r="L49" s="9">
        <v>2</v>
      </c>
      <c r="M49" s="9">
        <v>2021</v>
      </c>
    </row>
    <row r="50" spans="1:13" x14ac:dyDescent="0.3">
      <c r="A50" s="9">
        <v>302</v>
      </c>
      <c r="B50" s="10">
        <v>15197</v>
      </c>
      <c r="C50" s="11">
        <v>54111</v>
      </c>
      <c r="D50" s="9" t="s">
        <v>11</v>
      </c>
      <c r="E50" s="9" t="s">
        <v>21</v>
      </c>
      <c r="F50" s="9">
        <f t="shared" ca="1" si="0"/>
        <v>5</v>
      </c>
      <c r="G50" s="9" t="s">
        <v>64</v>
      </c>
      <c r="H50" s="9" t="s">
        <v>26</v>
      </c>
      <c r="I50" s="9">
        <v>2</v>
      </c>
      <c r="J50" s="9" t="s">
        <v>30</v>
      </c>
      <c r="K50" s="9" t="s">
        <v>27</v>
      </c>
      <c r="L50" s="9">
        <v>1</v>
      </c>
      <c r="M50" s="9">
        <v>2021</v>
      </c>
    </row>
    <row r="51" spans="1:13" x14ac:dyDescent="0.3">
      <c r="A51" s="9">
        <v>304</v>
      </c>
      <c r="B51" s="10">
        <v>31999</v>
      </c>
      <c r="C51" s="11">
        <v>14936</v>
      </c>
      <c r="D51" s="9" t="s">
        <v>12</v>
      </c>
      <c r="E51" s="9" t="s">
        <v>13</v>
      </c>
      <c r="F51" s="9">
        <f t="shared" ca="1" si="0"/>
        <v>3</v>
      </c>
      <c r="G51" s="9" t="s">
        <v>58</v>
      </c>
      <c r="H51" s="9" t="s">
        <v>50</v>
      </c>
      <c r="I51" s="9">
        <v>1.5</v>
      </c>
      <c r="J51" s="9" t="s">
        <v>35</v>
      </c>
      <c r="K51" s="9" t="s">
        <v>27</v>
      </c>
      <c r="L51" s="9">
        <v>1</v>
      </c>
      <c r="M51" s="9">
        <v>2023</v>
      </c>
    </row>
    <row r="52" spans="1:13" x14ac:dyDescent="0.3">
      <c r="A52" s="9">
        <v>308</v>
      </c>
      <c r="B52" s="10">
        <v>19400</v>
      </c>
      <c r="C52" s="11">
        <v>42511</v>
      </c>
      <c r="D52" s="9" t="s">
        <v>86</v>
      </c>
      <c r="E52" s="9" t="s">
        <v>13</v>
      </c>
      <c r="F52" s="9">
        <f t="shared" ca="1" si="0"/>
        <v>3</v>
      </c>
      <c r="G52" s="9" t="s">
        <v>36</v>
      </c>
      <c r="H52" s="9" t="s">
        <v>26</v>
      </c>
      <c r="I52" s="9">
        <v>1.5</v>
      </c>
      <c r="J52" s="9" t="s">
        <v>35</v>
      </c>
      <c r="K52" s="9" t="s">
        <v>27</v>
      </c>
      <c r="L52" s="9">
        <v>1</v>
      </c>
      <c r="M52" s="9">
        <v>2023</v>
      </c>
    </row>
    <row r="53" spans="1:13" x14ac:dyDescent="0.3">
      <c r="A53" s="9">
        <v>58</v>
      </c>
      <c r="B53" s="10">
        <v>3500</v>
      </c>
      <c r="C53" s="11">
        <v>112000</v>
      </c>
      <c r="D53" s="9" t="s">
        <v>11</v>
      </c>
      <c r="E53" s="9" t="s">
        <v>21</v>
      </c>
      <c r="F53" s="9">
        <f t="shared" ca="1" si="0"/>
        <v>14</v>
      </c>
      <c r="G53" s="9" t="s">
        <v>41</v>
      </c>
      <c r="H53" s="9" t="s">
        <v>26</v>
      </c>
      <c r="I53" s="9">
        <v>1.6</v>
      </c>
      <c r="J53" s="9" t="s">
        <v>43</v>
      </c>
      <c r="K53" s="9" t="s">
        <v>27</v>
      </c>
      <c r="L53" s="9">
        <v>8</v>
      </c>
      <c r="M53" s="9">
        <v>2012</v>
      </c>
    </row>
    <row r="54" spans="1:13" x14ac:dyDescent="0.3">
      <c r="A54" s="9">
        <v>317</v>
      </c>
      <c r="B54" s="10">
        <v>19749</v>
      </c>
      <c r="C54" s="11">
        <v>29842</v>
      </c>
      <c r="D54" s="9" t="s">
        <v>12</v>
      </c>
      <c r="E54" s="9" t="s">
        <v>21</v>
      </c>
      <c r="F54" s="9">
        <f t="shared" ca="1" si="0"/>
        <v>4</v>
      </c>
      <c r="G54" s="9" t="s">
        <v>62</v>
      </c>
      <c r="H54" s="9" t="s">
        <v>26</v>
      </c>
      <c r="I54" s="9">
        <v>1.5</v>
      </c>
      <c r="J54" s="9" t="s">
        <v>43</v>
      </c>
      <c r="K54" s="9" t="s">
        <v>27</v>
      </c>
      <c r="L54" s="9">
        <v>1</v>
      </c>
      <c r="M54" s="9">
        <v>2022</v>
      </c>
    </row>
    <row r="55" spans="1:13" x14ac:dyDescent="0.3">
      <c r="A55" s="9">
        <v>320</v>
      </c>
      <c r="B55" s="10">
        <v>7995</v>
      </c>
      <c r="C55" s="11">
        <v>76000</v>
      </c>
      <c r="D55" s="9" t="s">
        <v>11</v>
      </c>
      <c r="E55" s="9" t="s">
        <v>13</v>
      </c>
      <c r="F55" s="9">
        <f t="shared" ca="1" si="0"/>
        <v>10</v>
      </c>
      <c r="G55" s="9" t="s">
        <v>55</v>
      </c>
      <c r="H55" s="9" t="s">
        <v>26</v>
      </c>
      <c r="I55" s="9">
        <v>1.6</v>
      </c>
      <c r="J55" s="9" t="s">
        <v>35</v>
      </c>
      <c r="K55" s="9" t="s">
        <v>27</v>
      </c>
      <c r="L55" s="9">
        <v>3</v>
      </c>
      <c r="M55" s="9">
        <v>2016</v>
      </c>
    </row>
    <row r="56" spans="1:13" x14ac:dyDescent="0.3">
      <c r="A56" s="9">
        <v>321</v>
      </c>
      <c r="B56" s="10">
        <v>12684</v>
      </c>
      <c r="C56" s="11">
        <v>45570</v>
      </c>
      <c r="D56" s="9" t="s">
        <v>12</v>
      </c>
      <c r="E56" s="9" t="s">
        <v>21</v>
      </c>
      <c r="F56" s="9">
        <f t="shared" ca="1" si="0"/>
        <v>7</v>
      </c>
      <c r="G56" s="9" t="s">
        <v>39</v>
      </c>
      <c r="H56" s="9" t="s">
        <v>26</v>
      </c>
      <c r="I56" s="9">
        <v>1.5</v>
      </c>
      <c r="J56" s="9" t="s">
        <v>45</v>
      </c>
      <c r="K56" s="9" t="s">
        <v>27</v>
      </c>
      <c r="L56" s="9">
        <v>2</v>
      </c>
      <c r="M56" s="9">
        <v>2019</v>
      </c>
    </row>
    <row r="57" spans="1:13" x14ac:dyDescent="0.3">
      <c r="A57" s="9">
        <v>176</v>
      </c>
      <c r="B57" s="10">
        <v>6700</v>
      </c>
      <c r="C57" s="11">
        <v>111000</v>
      </c>
      <c r="D57" s="9" t="s">
        <v>12</v>
      </c>
      <c r="E57" s="9" t="s">
        <v>13</v>
      </c>
      <c r="F57" s="9">
        <f t="shared" ca="1" si="0"/>
        <v>14</v>
      </c>
      <c r="G57" s="9" t="s">
        <v>57</v>
      </c>
      <c r="H57" s="9" t="s">
        <v>26</v>
      </c>
      <c r="I57" s="9">
        <v>1.4</v>
      </c>
      <c r="J57" s="9" t="s">
        <v>23</v>
      </c>
      <c r="K57" s="9" t="s">
        <v>27</v>
      </c>
      <c r="L57" s="9">
        <v>4</v>
      </c>
      <c r="M57" s="9">
        <v>2012</v>
      </c>
    </row>
    <row r="58" spans="1:13" x14ac:dyDescent="0.3">
      <c r="A58" s="9">
        <v>343</v>
      </c>
      <c r="B58" s="10">
        <v>14649</v>
      </c>
      <c r="C58" s="11">
        <v>34528</v>
      </c>
      <c r="D58" s="9" t="s">
        <v>12</v>
      </c>
      <c r="E58" s="9" t="s">
        <v>13</v>
      </c>
      <c r="F58" s="9">
        <f t="shared" ca="1" si="0"/>
        <v>7</v>
      </c>
      <c r="G58" s="9" t="s">
        <v>40</v>
      </c>
      <c r="H58" s="9" t="s">
        <v>26</v>
      </c>
      <c r="I58" s="9">
        <v>1</v>
      </c>
      <c r="J58" s="9" t="s">
        <v>45</v>
      </c>
      <c r="K58" s="9" t="s">
        <v>27</v>
      </c>
      <c r="L58" s="9">
        <v>3</v>
      </c>
      <c r="M58" s="9">
        <v>2019</v>
      </c>
    </row>
    <row r="59" spans="1:13" x14ac:dyDescent="0.3">
      <c r="A59" s="9">
        <v>344</v>
      </c>
      <c r="B59" s="10">
        <v>14950</v>
      </c>
      <c r="C59" s="11">
        <v>104716</v>
      </c>
      <c r="D59" s="9" t="s">
        <v>12</v>
      </c>
      <c r="E59" s="9" t="s">
        <v>13</v>
      </c>
      <c r="F59" s="9">
        <f t="shared" ca="1" si="0"/>
        <v>8</v>
      </c>
      <c r="G59" s="9" t="s">
        <v>56</v>
      </c>
      <c r="H59" s="9" t="s">
        <v>50</v>
      </c>
      <c r="I59" s="9">
        <v>2</v>
      </c>
      <c r="J59" s="9" t="s">
        <v>30</v>
      </c>
      <c r="K59" s="9" t="s">
        <v>47</v>
      </c>
      <c r="L59" s="9">
        <v>2</v>
      </c>
      <c r="M59" s="9">
        <v>2018</v>
      </c>
    </row>
    <row r="60" spans="1:13" x14ac:dyDescent="0.3">
      <c r="A60" s="9">
        <v>353</v>
      </c>
      <c r="B60" s="10">
        <v>21400</v>
      </c>
      <c r="C60" s="11">
        <v>29130</v>
      </c>
      <c r="D60" s="9" t="s">
        <v>12</v>
      </c>
      <c r="E60" s="9" t="s">
        <v>21</v>
      </c>
      <c r="F60" s="9">
        <f t="shared" ca="1" si="0"/>
        <v>2</v>
      </c>
      <c r="G60" s="12" t="s">
        <v>49</v>
      </c>
      <c r="H60" s="9" t="s">
        <v>26</v>
      </c>
      <c r="I60" s="9">
        <v>1.5</v>
      </c>
      <c r="J60" s="9" t="s">
        <v>23</v>
      </c>
      <c r="K60" s="9" t="s">
        <v>27</v>
      </c>
      <c r="L60" s="9">
        <v>1</v>
      </c>
      <c r="M60" s="9">
        <v>2024</v>
      </c>
    </row>
    <row r="61" spans="1:13" x14ac:dyDescent="0.3">
      <c r="A61" s="9">
        <v>363</v>
      </c>
      <c r="B61" s="10">
        <v>14750</v>
      </c>
      <c r="C61" s="11">
        <v>69296</v>
      </c>
      <c r="D61" s="9" t="s">
        <v>11</v>
      </c>
      <c r="E61" s="9" t="s">
        <v>13</v>
      </c>
      <c r="F61" s="9">
        <f t="shared" ca="1" si="0"/>
        <v>8</v>
      </c>
      <c r="G61" s="9" t="s">
        <v>33</v>
      </c>
      <c r="H61" s="9" t="s">
        <v>26</v>
      </c>
      <c r="I61" s="9">
        <v>2</v>
      </c>
      <c r="J61" s="9" t="s">
        <v>30</v>
      </c>
      <c r="K61" s="9" t="s">
        <v>27</v>
      </c>
      <c r="L61" s="9">
        <v>1</v>
      </c>
      <c r="M61" s="9">
        <v>2018</v>
      </c>
    </row>
    <row r="62" spans="1:13" x14ac:dyDescent="0.3">
      <c r="A62" s="9">
        <v>364</v>
      </c>
      <c r="B62" s="10">
        <v>20850</v>
      </c>
      <c r="C62" s="11">
        <v>14468</v>
      </c>
      <c r="D62" s="9" t="s">
        <v>12</v>
      </c>
      <c r="E62" s="9" t="s">
        <v>21</v>
      </c>
      <c r="F62" s="9">
        <f t="shared" ca="1" si="0"/>
        <v>2</v>
      </c>
      <c r="G62" s="9" t="s">
        <v>39</v>
      </c>
      <c r="H62" s="9" t="s">
        <v>26</v>
      </c>
      <c r="I62" s="9">
        <v>1.5</v>
      </c>
      <c r="J62" s="9" t="s">
        <v>30</v>
      </c>
      <c r="K62" s="9" t="s">
        <v>27</v>
      </c>
      <c r="L62" s="9">
        <v>1</v>
      </c>
      <c r="M62" s="9">
        <v>2024</v>
      </c>
    </row>
    <row r="63" spans="1:13" x14ac:dyDescent="0.3">
      <c r="A63" s="9">
        <v>6</v>
      </c>
      <c r="B63" s="10">
        <v>3495</v>
      </c>
      <c r="C63" s="11">
        <v>120000</v>
      </c>
      <c r="D63" s="9" t="s">
        <v>11</v>
      </c>
      <c r="E63" s="9" t="s">
        <v>21</v>
      </c>
      <c r="F63" s="9">
        <f t="shared" ca="1" si="0"/>
        <v>13</v>
      </c>
      <c r="G63" s="12" t="s">
        <v>25</v>
      </c>
      <c r="H63" s="9" t="s">
        <v>26</v>
      </c>
      <c r="I63" s="9">
        <v>1.6</v>
      </c>
      <c r="J63" s="9" t="s">
        <v>23</v>
      </c>
      <c r="K63" s="9" t="s">
        <v>27</v>
      </c>
      <c r="L63" s="9">
        <v>4</v>
      </c>
      <c r="M63" s="9">
        <v>2013</v>
      </c>
    </row>
    <row r="64" spans="1:13" x14ac:dyDescent="0.3">
      <c r="A64" s="9">
        <v>373</v>
      </c>
      <c r="B64" s="10">
        <v>15673</v>
      </c>
      <c r="C64" s="11">
        <v>15673</v>
      </c>
      <c r="D64" s="9" t="s">
        <v>12</v>
      </c>
      <c r="E64" s="9" t="s">
        <v>21</v>
      </c>
      <c r="F64" s="9">
        <f t="shared" ca="1" si="0"/>
        <v>4</v>
      </c>
      <c r="G64" s="9" t="s">
        <v>36</v>
      </c>
      <c r="H64" s="9" t="s">
        <v>26</v>
      </c>
      <c r="I64" s="9">
        <v>1</v>
      </c>
      <c r="J64" s="9" t="s">
        <v>35</v>
      </c>
      <c r="K64" s="9" t="s">
        <v>27</v>
      </c>
      <c r="L64" s="9">
        <v>1</v>
      </c>
      <c r="M64" s="9">
        <v>2022</v>
      </c>
    </row>
    <row r="65" spans="1:13" x14ac:dyDescent="0.3">
      <c r="A65" s="9">
        <v>385</v>
      </c>
      <c r="B65" s="10">
        <v>20850</v>
      </c>
      <c r="C65" s="11">
        <v>14468</v>
      </c>
      <c r="D65" s="9" t="s">
        <v>12</v>
      </c>
      <c r="E65" s="9" t="s">
        <v>21</v>
      </c>
      <c r="F65" s="9">
        <f t="shared" ca="1" si="0"/>
        <v>2</v>
      </c>
      <c r="G65" s="9" t="s">
        <v>39</v>
      </c>
      <c r="H65" s="9" t="s">
        <v>26</v>
      </c>
      <c r="I65" s="9">
        <v>1.5</v>
      </c>
      <c r="J65" s="9" t="s">
        <v>30</v>
      </c>
      <c r="K65" s="9" t="s">
        <v>27</v>
      </c>
      <c r="L65" s="9">
        <v>1</v>
      </c>
      <c r="M65" s="9">
        <v>2024</v>
      </c>
    </row>
    <row r="66" spans="1:13" x14ac:dyDescent="0.3">
      <c r="A66" s="9">
        <v>386</v>
      </c>
      <c r="B66" s="10">
        <v>24621</v>
      </c>
      <c r="C66" s="11">
        <v>25302</v>
      </c>
      <c r="D66" s="9" t="s">
        <v>11</v>
      </c>
      <c r="E66" s="9" t="s">
        <v>13</v>
      </c>
      <c r="F66" s="9">
        <f t="shared" ca="1" si="0"/>
        <v>5</v>
      </c>
      <c r="G66" s="9" t="s">
        <v>36</v>
      </c>
      <c r="H66" s="9" t="s">
        <v>26</v>
      </c>
      <c r="I66" s="9"/>
      <c r="J66" s="9" t="s">
        <v>43</v>
      </c>
      <c r="K66" s="9" t="s">
        <v>27</v>
      </c>
      <c r="L66" s="9">
        <v>1</v>
      </c>
      <c r="M66" s="9">
        <v>2021</v>
      </c>
    </row>
    <row r="67" spans="1:13" x14ac:dyDescent="0.3">
      <c r="A67" s="9">
        <v>390</v>
      </c>
      <c r="B67" s="10">
        <v>7990</v>
      </c>
      <c r="C67" s="11">
        <v>134000</v>
      </c>
      <c r="D67" s="9" t="s">
        <v>17</v>
      </c>
      <c r="E67" s="9" t="s">
        <v>13</v>
      </c>
      <c r="F67" s="9">
        <f t="shared" ref="F67:F101" ca="1" si="1">YEAR(TODAY()) -M67</f>
        <v>9</v>
      </c>
      <c r="G67" s="12" t="s">
        <v>44</v>
      </c>
      <c r="H67" s="9" t="s">
        <v>26</v>
      </c>
      <c r="I67" s="9">
        <v>1.4</v>
      </c>
      <c r="J67" s="9" t="s">
        <v>43</v>
      </c>
      <c r="K67" s="9" t="s">
        <v>27</v>
      </c>
      <c r="L67" s="9">
        <v>1</v>
      </c>
      <c r="M67" s="9">
        <v>2017</v>
      </c>
    </row>
    <row r="68" spans="1:13" x14ac:dyDescent="0.3">
      <c r="A68" s="9">
        <v>283</v>
      </c>
      <c r="B68" s="10">
        <v>3785</v>
      </c>
      <c r="C68" s="11">
        <v>82376</v>
      </c>
      <c r="D68" s="9" t="s">
        <v>11</v>
      </c>
      <c r="E68" s="9" t="s">
        <v>21</v>
      </c>
      <c r="F68" s="9">
        <f t="shared" ca="1" si="1"/>
        <v>13</v>
      </c>
      <c r="G68" s="9" t="s">
        <v>46</v>
      </c>
      <c r="H68" s="9" t="s">
        <v>26</v>
      </c>
      <c r="I68" s="9">
        <v>2</v>
      </c>
      <c r="J68" s="9" t="s">
        <v>23</v>
      </c>
      <c r="K68" s="9" t="s">
        <v>27</v>
      </c>
      <c r="L68" s="9">
        <v>5</v>
      </c>
      <c r="M68" s="9">
        <v>2013</v>
      </c>
    </row>
    <row r="69" spans="1:13" x14ac:dyDescent="0.3">
      <c r="A69" s="9">
        <v>397</v>
      </c>
      <c r="B69" s="10">
        <v>29473</v>
      </c>
      <c r="C69" s="11">
        <v>2944</v>
      </c>
      <c r="D69" s="9" t="s">
        <v>17</v>
      </c>
      <c r="E69" s="9" t="s">
        <v>13</v>
      </c>
      <c r="F69" s="9">
        <v>1</v>
      </c>
      <c r="G69" s="9" t="s">
        <v>70</v>
      </c>
      <c r="H69" s="9" t="s">
        <v>26</v>
      </c>
      <c r="I69" s="9">
        <v>1.5</v>
      </c>
      <c r="J69" s="9" t="s">
        <v>23</v>
      </c>
      <c r="K69" s="9" t="s">
        <v>27</v>
      </c>
      <c r="L69" s="9">
        <v>1</v>
      </c>
      <c r="M69" s="9">
        <v>2025</v>
      </c>
    </row>
    <row r="70" spans="1:13" x14ac:dyDescent="0.3">
      <c r="A70" s="9">
        <v>399</v>
      </c>
      <c r="B70" s="10">
        <v>14573</v>
      </c>
      <c r="C70" s="11">
        <v>22104</v>
      </c>
      <c r="D70" s="9" t="s">
        <v>12</v>
      </c>
      <c r="E70" s="9" t="s">
        <v>21</v>
      </c>
      <c r="F70" s="9">
        <f t="shared" ca="1" si="1"/>
        <v>5</v>
      </c>
      <c r="G70" s="9" t="s">
        <v>61</v>
      </c>
      <c r="H70" s="9" t="s">
        <v>26</v>
      </c>
      <c r="I70" s="9">
        <v>1</v>
      </c>
      <c r="J70" s="9" t="s">
        <v>43</v>
      </c>
      <c r="K70" s="9" t="s">
        <v>27</v>
      </c>
      <c r="L70" s="9">
        <v>2</v>
      </c>
      <c r="M70" s="9">
        <v>2021</v>
      </c>
    </row>
    <row r="71" spans="1:13" x14ac:dyDescent="0.3">
      <c r="A71" s="9">
        <v>447</v>
      </c>
      <c r="B71" s="10">
        <v>5990</v>
      </c>
      <c r="C71" s="11">
        <v>58123</v>
      </c>
      <c r="D71" s="9" t="s">
        <v>11</v>
      </c>
      <c r="E71" s="9" t="s">
        <v>21</v>
      </c>
      <c r="F71" s="9">
        <f t="shared" ca="1" si="1"/>
        <v>13</v>
      </c>
      <c r="G71" s="12" t="s">
        <v>41</v>
      </c>
      <c r="H71" s="9" t="s">
        <v>26</v>
      </c>
      <c r="I71" s="9">
        <v>2</v>
      </c>
      <c r="J71" s="9" t="s">
        <v>43</v>
      </c>
      <c r="K71" s="9" t="s">
        <v>27</v>
      </c>
      <c r="L71" s="9">
        <v>5</v>
      </c>
      <c r="M71" s="9">
        <v>2013</v>
      </c>
    </row>
    <row r="72" spans="1:13" x14ac:dyDescent="0.3">
      <c r="A72" s="9">
        <v>429</v>
      </c>
      <c r="B72" s="10">
        <v>11202</v>
      </c>
      <c r="C72" s="11">
        <v>68000</v>
      </c>
      <c r="D72" s="9" t="s">
        <v>86</v>
      </c>
      <c r="E72" s="9" t="s">
        <v>13</v>
      </c>
      <c r="F72" s="9">
        <f t="shared" ca="1" si="1"/>
        <v>7</v>
      </c>
      <c r="G72" s="12" t="s">
        <v>44</v>
      </c>
      <c r="H72" s="9" t="s">
        <v>26</v>
      </c>
      <c r="I72" s="9">
        <v>1.5</v>
      </c>
      <c r="J72" s="9" t="s">
        <v>43</v>
      </c>
      <c r="K72" s="9" t="s">
        <v>27</v>
      </c>
      <c r="L72" s="9">
        <v>3</v>
      </c>
      <c r="M72" s="9">
        <v>2019</v>
      </c>
    </row>
    <row r="73" spans="1:13" x14ac:dyDescent="0.3">
      <c r="A73" s="9">
        <v>456</v>
      </c>
      <c r="B73" s="10">
        <v>3995</v>
      </c>
      <c r="C73" s="11">
        <v>101701</v>
      </c>
      <c r="D73" s="9" t="s">
        <v>11</v>
      </c>
      <c r="E73" s="9" t="s">
        <v>21</v>
      </c>
      <c r="F73" s="9">
        <f t="shared" ca="1" si="1"/>
        <v>13</v>
      </c>
      <c r="G73" s="9" t="s">
        <v>46</v>
      </c>
      <c r="H73" s="9" t="s">
        <v>26</v>
      </c>
      <c r="I73" s="9">
        <v>2</v>
      </c>
      <c r="J73" s="9" t="s">
        <v>30</v>
      </c>
      <c r="K73" s="9" t="s">
        <v>27</v>
      </c>
      <c r="L73" s="9">
        <v>5</v>
      </c>
      <c r="M73" s="9">
        <v>2013</v>
      </c>
    </row>
    <row r="74" spans="1:13" x14ac:dyDescent="0.3">
      <c r="A74" s="9">
        <v>434</v>
      </c>
      <c r="B74" s="10">
        <v>32600</v>
      </c>
      <c r="C74" s="11">
        <v>12213</v>
      </c>
      <c r="D74" s="9" t="s">
        <v>12</v>
      </c>
      <c r="E74" s="9" t="s">
        <v>13</v>
      </c>
      <c r="F74" s="9">
        <f t="shared" ca="1" si="1"/>
        <v>3</v>
      </c>
      <c r="G74" s="9" t="s">
        <v>58</v>
      </c>
      <c r="H74" s="9" t="s">
        <v>50</v>
      </c>
      <c r="I74" s="9">
        <v>2</v>
      </c>
      <c r="J74" s="9" t="s">
        <v>35</v>
      </c>
      <c r="K74" s="9" t="s">
        <v>27</v>
      </c>
      <c r="L74" s="9">
        <v>1</v>
      </c>
      <c r="M74" s="9">
        <v>2023</v>
      </c>
    </row>
    <row r="75" spans="1:13" x14ac:dyDescent="0.3">
      <c r="A75" s="9">
        <v>435</v>
      </c>
      <c r="B75" s="10">
        <v>39814</v>
      </c>
      <c r="C75" s="11">
        <v>4577</v>
      </c>
      <c r="D75" s="9" t="s">
        <v>12</v>
      </c>
      <c r="E75" s="9" t="s">
        <v>13</v>
      </c>
      <c r="F75" s="9">
        <v>1</v>
      </c>
      <c r="G75" s="9" t="s">
        <v>58</v>
      </c>
      <c r="H75" s="9" t="s">
        <v>50</v>
      </c>
      <c r="I75" s="9">
        <v>2</v>
      </c>
      <c r="J75" s="9" t="s">
        <v>35</v>
      </c>
      <c r="K75" s="9" t="s">
        <v>27</v>
      </c>
      <c r="L75" s="9">
        <v>1</v>
      </c>
      <c r="M75" s="9">
        <v>2025</v>
      </c>
    </row>
    <row r="76" spans="1:13" x14ac:dyDescent="0.3">
      <c r="A76" s="9">
        <v>436</v>
      </c>
      <c r="B76" s="10">
        <v>15987</v>
      </c>
      <c r="C76" s="11">
        <v>40511</v>
      </c>
      <c r="D76" s="9" t="s">
        <v>12</v>
      </c>
      <c r="E76" s="9" t="s">
        <v>21</v>
      </c>
      <c r="F76" s="9">
        <f t="shared" ca="1" si="1"/>
        <v>4</v>
      </c>
      <c r="G76" s="12" t="s">
        <v>33</v>
      </c>
      <c r="H76" s="9" t="s">
        <v>26</v>
      </c>
      <c r="I76" s="9">
        <v>1</v>
      </c>
      <c r="J76" s="9" t="s">
        <v>23</v>
      </c>
      <c r="K76" s="9" t="s">
        <v>27</v>
      </c>
      <c r="L76" s="9">
        <v>2</v>
      </c>
      <c r="M76" s="9">
        <v>2022</v>
      </c>
    </row>
    <row r="77" spans="1:13" x14ac:dyDescent="0.3">
      <c r="A77" s="9">
        <v>16</v>
      </c>
      <c r="B77" s="10">
        <v>4795</v>
      </c>
      <c r="C77" s="11">
        <v>98000</v>
      </c>
      <c r="D77" s="9" t="s">
        <v>11</v>
      </c>
      <c r="E77" s="9" t="s">
        <v>21</v>
      </c>
      <c r="F77" s="9">
        <f t="shared" ca="1" si="1"/>
        <v>12</v>
      </c>
      <c r="G77" s="12" t="s">
        <v>25</v>
      </c>
      <c r="H77" s="9" t="s">
        <v>26</v>
      </c>
      <c r="I77" s="9">
        <v>1.6</v>
      </c>
      <c r="J77" s="9" t="s">
        <v>30</v>
      </c>
      <c r="K77" s="9" t="s">
        <v>27</v>
      </c>
      <c r="L77" s="9">
        <v>3</v>
      </c>
      <c r="M77" s="9">
        <v>2014</v>
      </c>
    </row>
    <row r="78" spans="1:13" x14ac:dyDescent="0.3">
      <c r="A78" s="9">
        <v>453</v>
      </c>
      <c r="B78" s="10">
        <v>16000</v>
      </c>
      <c r="C78" s="11">
        <v>28000</v>
      </c>
      <c r="D78" s="9" t="s">
        <v>17</v>
      </c>
      <c r="E78" s="9" t="s">
        <v>13</v>
      </c>
      <c r="F78" s="9">
        <f t="shared" ca="1" si="1"/>
        <v>8</v>
      </c>
      <c r="G78" s="12" t="s">
        <v>44</v>
      </c>
      <c r="H78" s="9" t="s">
        <v>26</v>
      </c>
      <c r="I78" s="9">
        <v>1.4</v>
      </c>
      <c r="J78" s="9" t="s">
        <v>59</v>
      </c>
      <c r="K78" s="9" t="s">
        <v>27</v>
      </c>
      <c r="L78" s="9">
        <v>1</v>
      </c>
      <c r="M78" s="9">
        <v>2018</v>
      </c>
    </row>
    <row r="79" spans="1:13" x14ac:dyDescent="0.3">
      <c r="A79" s="9">
        <v>455</v>
      </c>
      <c r="B79" s="10">
        <v>19499</v>
      </c>
      <c r="C79" s="11">
        <v>36144</v>
      </c>
      <c r="D79" s="9" t="s">
        <v>86</v>
      </c>
      <c r="E79" s="9" t="s">
        <v>13</v>
      </c>
      <c r="F79" s="9">
        <f t="shared" ca="1" si="1"/>
        <v>6</v>
      </c>
      <c r="G79" s="9" t="s">
        <v>49</v>
      </c>
      <c r="H79" s="9" t="s">
        <v>26</v>
      </c>
      <c r="I79" s="9">
        <v>1.5</v>
      </c>
      <c r="J79" s="9" t="s">
        <v>35</v>
      </c>
      <c r="K79" s="9" t="s">
        <v>27</v>
      </c>
      <c r="L79" s="9">
        <v>4</v>
      </c>
      <c r="M79" s="9">
        <v>2020</v>
      </c>
    </row>
    <row r="80" spans="1:13" x14ac:dyDescent="0.3">
      <c r="A80" s="9">
        <v>251</v>
      </c>
      <c r="B80" s="10">
        <v>4650</v>
      </c>
      <c r="C80" s="11">
        <v>54501</v>
      </c>
      <c r="D80" s="9" t="s">
        <v>11</v>
      </c>
      <c r="E80" s="9" t="s">
        <v>21</v>
      </c>
      <c r="F80" s="9">
        <f t="shared" ca="1" si="1"/>
        <v>12</v>
      </c>
      <c r="G80" s="12" t="s">
        <v>25</v>
      </c>
      <c r="H80" s="9" t="s">
        <v>26</v>
      </c>
      <c r="I80" s="9">
        <v>1.6</v>
      </c>
      <c r="J80" s="9" t="s">
        <v>35</v>
      </c>
      <c r="K80" s="9" t="s">
        <v>27</v>
      </c>
      <c r="L80" s="9">
        <v>2</v>
      </c>
      <c r="M80" s="9">
        <v>2014</v>
      </c>
    </row>
    <row r="81" spans="1:13" x14ac:dyDescent="0.3">
      <c r="A81" s="9">
        <v>457</v>
      </c>
      <c r="B81" s="10">
        <v>15008</v>
      </c>
      <c r="C81" s="11">
        <v>60244</v>
      </c>
      <c r="D81" s="9" t="s">
        <v>12</v>
      </c>
      <c r="E81" s="9" t="s">
        <v>21</v>
      </c>
      <c r="F81" s="9">
        <f t="shared" ca="1" si="1"/>
        <v>4</v>
      </c>
      <c r="G81" s="9" t="s">
        <v>39</v>
      </c>
      <c r="H81" s="9" t="s">
        <v>26</v>
      </c>
      <c r="I81" s="9">
        <v>1.5</v>
      </c>
      <c r="J81" s="9" t="s">
        <v>23</v>
      </c>
      <c r="K81" s="9" t="s">
        <v>27</v>
      </c>
      <c r="L81" s="9">
        <v>1</v>
      </c>
      <c r="M81" s="9">
        <v>2022</v>
      </c>
    </row>
    <row r="82" spans="1:13" x14ac:dyDescent="0.3">
      <c r="A82" s="9">
        <v>459</v>
      </c>
      <c r="B82" s="10">
        <v>15987</v>
      </c>
      <c r="C82" s="11">
        <v>40511</v>
      </c>
      <c r="D82" s="9" t="s">
        <v>12</v>
      </c>
      <c r="E82" s="9" t="s">
        <v>21</v>
      </c>
      <c r="F82" s="9">
        <f t="shared" ca="1" si="1"/>
        <v>4</v>
      </c>
      <c r="G82" s="9" t="s">
        <v>33</v>
      </c>
      <c r="H82" s="9" t="s">
        <v>26</v>
      </c>
      <c r="I82" s="9">
        <v>1</v>
      </c>
      <c r="J82" s="9" t="s">
        <v>23</v>
      </c>
      <c r="K82" s="9" t="s">
        <v>27</v>
      </c>
      <c r="L82" s="9">
        <v>2</v>
      </c>
      <c r="M82" s="9">
        <v>2022</v>
      </c>
    </row>
    <row r="83" spans="1:13" x14ac:dyDescent="0.3">
      <c r="A83" s="9">
        <v>489</v>
      </c>
      <c r="B83" s="10">
        <v>17499</v>
      </c>
      <c r="C83" s="11">
        <v>32224</v>
      </c>
      <c r="D83" s="9" t="s">
        <v>12</v>
      </c>
      <c r="E83" s="9" t="s">
        <v>13</v>
      </c>
      <c r="F83" s="9">
        <f t="shared" ca="1" si="1"/>
        <v>6</v>
      </c>
      <c r="G83" s="9" t="s">
        <v>32</v>
      </c>
      <c r="H83" s="9" t="s">
        <v>26</v>
      </c>
      <c r="I83" s="9">
        <v>2</v>
      </c>
      <c r="J83" s="9" t="s">
        <v>30</v>
      </c>
      <c r="K83" s="9" t="s">
        <v>27</v>
      </c>
      <c r="L83" s="9">
        <v>2</v>
      </c>
      <c r="M83" s="9">
        <v>2020</v>
      </c>
    </row>
    <row r="84" spans="1:13" x14ac:dyDescent="0.3">
      <c r="A84" s="9">
        <v>217</v>
      </c>
      <c r="B84" s="10">
        <v>4690</v>
      </c>
      <c r="C84" s="11">
        <v>178000</v>
      </c>
      <c r="D84" s="9" t="s">
        <v>11</v>
      </c>
      <c r="E84" s="9" t="s">
        <v>13</v>
      </c>
      <c r="F84" s="9">
        <f t="shared" ca="1" si="1"/>
        <v>11</v>
      </c>
      <c r="G84" s="9" t="s">
        <v>64</v>
      </c>
      <c r="H84" s="9" t="s">
        <v>26</v>
      </c>
      <c r="I84" s="9">
        <v>2</v>
      </c>
      <c r="J84" s="9" t="s">
        <v>35</v>
      </c>
      <c r="K84" s="9" t="s">
        <v>27</v>
      </c>
      <c r="L84" s="9">
        <v>6</v>
      </c>
      <c r="M84" s="9">
        <v>2015</v>
      </c>
    </row>
    <row r="85" spans="1:13" x14ac:dyDescent="0.3">
      <c r="A85" s="9">
        <v>503</v>
      </c>
      <c r="B85" s="10">
        <v>24999</v>
      </c>
      <c r="C85" s="11">
        <v>44500</v>
      </c>
      <c r="D85" s="9" t="s">
        <v>12</v>
      </c>
      <c r="E85" s="9" t="s">
        <v>13</v>
      </c>
      <c r="F85" s="9">
        <f t="shared" ca="1" si="1"/>
        <v>7</v>
      </c>
      <c r="G85" s="9" t="s">
        <v>66</v>
      </c>
      <c r="H85" s="9" t="s">
        <v>50</v>
      </c>
      <c r="I85" s="9">
        <v>2</v>
      </c>
      <c r="J85" s="9" t="s">
        <v>30</v>
      </c>
      <c r="K85" s="9" t="s">
        <v>27</v>
      </c>
      <c r="L85" s="9">
        <v>2</v>
      </c>
      <c r="M85" s="9">
        <v>2019</v>
      </c>
    </row>
    <row r="86" spans="1:13" x14ac:dyDescent="0.3">
      <c r="A86" s="9">
        <v>508</v>
      </c>
      <c r="B86" s="10">
        <v>14995</v>
      </c>
      <c r="C86" s="11">
        <v>13750</v>
      </c>
      <c r="D86" s="9" t="s">
        <v>17</v>
      </c>
      <c r="E86" s="9" t="s">
        <v>13</v>
      </c>
      <c r="F86" s="9">
        <f t="shared" ca="1" si="1"/>
        <v>6</v>
      </c>
      <c r="G86" s="9" t="s">
        <v>72</v>
      </c>
      <c r="H86" s="9" t="s">
        <v>26</v>
      </c>
      <c r="I86" s="9">
        <v>1.4</v>
      </c>
      <c r="J86" s="9" t="s">
        <v>30</v>
      </c>
      <c r="K86" s="9" t="s">
        <v>27</v>
      </c>
      <c r="L86" s="9">
        <v>2</v>
      </c>
      <c r="M86" s="9">
        <v>2020</v>
      </c>
    </row>
    <row r="87" spans="1:13" x14ac:dyDescent="0.3">
      <c r="A87" s="9">
        <v>509</v>
      </c>
      <c r="B87" s="10">
        <v>32399</v>
      </c>
      <c r="C87" s="11">
        <v>12654</v>
      </c>
      <c r="D87" s="9" t="s">
        <v>12</v>
      </c>
      <c r="E87" s="9" t="s">
        <v>13</v>
      </c>
      <c r="F87" s="9">
        <f t="shared" ca="1" si="1"/>
        <v>4</v>
      </c>
      <c r="G87" s="9" t="s">
        <v>58</v>
      </c>
      <c r="H87" s="9" t="s">
        <v>50</v>
      </c>
      <c r="I87" s="9">
        <v>2</v>
      </c>
      <c r="J87" s="9" t="s">
        <v>35</v>
      </c>
      <c r="K87" s="9" t="s">
        <v>27</v>
      </c>
      <c r="L87" s="9">
        <v>1</v>
      </c>
      <c r="M87" s="9">
        <v>2022</v>
      </c>
    </row>
    <row r="88" spans="1:13" x14ac:dyDescent="0.3">
      <c r="A88" s="9">
        <v>510</v>
      </c>
      <c r="B88" s="10">
        <v>37092</v>
      </c>
      <c r="C88" s="11">
        <v>3406</v>
      </c>
      <c r="D88" s="9" t="s">
        <v>12</v>
      </c>
      <c r="E88" s="9" t="s">
        <v>13</v>
      </c>
      <c r="F88" s="9">
        <v>1</v>
      </c>
      <c r="G88" s="9" t="s">
        <v>32</v>
      </c>
      <c r="H88" s="9" t="s">
        <v>26</v>
      </c>
      <c r="I88" s="9">
        <v>2</v>
      </c>
      <c r="J88" s="9" t="s">
        <v>35</v>
      </c>
      <c r="K88" s="9" t="s">
        <v>27</v>
      </c>
      <c r="L88" s="9">
        <v>1</v>
      </c>
      <c r="M88" s="9">
        <v>2025</v>
      </c>
    </row>
    <row r="89" spans="1:13" x14ac:dyDescent="0.3">
      <c r="A89" s="9">
        <v>512</v>
      </c>
      <c r="B89" s="10">
        <v>15987</v>
      </c>
      <c r="C89" s="11">
        <v>40511</v>
      </c>
      <c r="D89" s="9" t="s">
        <v>12</v>
      </c>
      <c r="E89" s="9" t="s">
        <v>21</v>
      </c>
      <c r="F89" s="9">
        <f t="shared" ca="1" si="1"/>
        <v>4</v>
      </c>
      <c r="G89" s="9" t="s">
        <v>33</v>
      </c>
      <c r="H89" s="9" t="s">
        <v>26</v>
      </c>
      <c r="I89" s="9">
        <v>1</v>
      </c>
      <c r="J89" s="9" t="s">
        <v>23</v>
      </c>
      <c r="K89" s="9" t="s">
        <v>27</v>
      </c>
      <c r="L89" s="9">
        <v>1</v>
      </c>
      <c r="M89" s="9">
        <v>2022</v>
      </c>
    </row>
    <row r="90" spans="1:13" x14ac:dyDescent="0.3">
      <c r="A90" s="9">
        <v>519</v>
      </c>
      <c r="B90" s="10">
        <v>39814</v>
      </c>
      <c r="C90" s="11">
        <v>4577</v>
      </c>
      <c r="D90" s="9" t="s">
        <v>12</v>
      </c>
      <c r="E90" s="9" t="s">
        <v>13</v>
      </c>
      <c r="F90" s="9">
        <v>1</v>
      </c>
      <c r="G90" s="9" t="s">
        <v>58</v>
      </c>
      <c r="H90" s="9" t="s">
        <v>50</v>
      </c>
      <c r="I90" s="9">
        <v>2</v>
      </c>
      <c r="J90" s="9" t="s">
        <v>35</v>
      </c>
      <c r="K90" s="9" t="s">
        <v>27</v>
      </c>
      <c r="L90" s="9">
        <v>1</v>
      </c>
      <c r="M90" s="9">
        <v>2025</v>
      </c>
    </row>
    <row r="91" spans="1:13" x14ac:dyDescent="0.3">
      <c r="A91" s="9">
        <v>526</v>
      </c>
      <c r="B91" s="10">
        <v>10000</v>
      </c>
      <c r="C91" s="11">
        <v>93500</v>
      </c>
      <c r="D91" s="9" t="s">
        <v>12</v>
      </c>
      <c r="E91" s="9" t="s">
        <v>13</v>
      </c>
      <c r="F91" s="9">
        <f t="shared" ca="1" si="1"/>
        <v>8</v>
      </c>
      <c r="G91" s="9" t="s">
        <v>68</v>
      </c>
      <c r="H91" s="9" t="s">
        <v>26</v>
      </c>
      <c r="I91" s="9">
        <v>1.5</v>
      </c>
      <c r="J91" s="9" t="s">
        <v>35</v>
      </c>
      <c r="K91" s="9" t="s">
        <v>47</v>
      </c>
      <c r="L91" s="9">
        <v>4</v>
      </c>
      <c r="M91" s="9">
        <v>2018</v>
      </c>
    </row>
    <row r="92" spans="1:13" x14ac:dyDescent="0.3">
      <c r="A92" s="9">
        <v>532</v>
      </c>
      <c r="B92" s="10">
        <v>15323</v>
      </c>
      <c r="C92" s="11">
        <v>17292</v>
      </c>
      <c r="D92" s="9" t="s">
        <v>12</v>
      </c>
      <c r="E92" s="9" t="s">
        <v>21</v>
      </c>
      <c r="F92" s="9">
        <f t="shared" ca="1" si="1"/>
        <v>5</v>
      </c>
      <c r="G92" s="12" t="s">
        <v>36</v>
      </c>
      <c r="H92" s="9" t="s">
        <v>26</v>
      </c>
      <c r="I92" s="9">
        <v>1</v>
      </c>
      <c r="J92" s="9" t="s">
        <v>35</v>
      </c>
      <c r="K92" s="9" t="s">
        <v>27</v>
      </c>
      <c r="L92" s="9">
        <v>2</v>
      </c>
      <c r="M92" s="9">
        <v>2021</v>
      </c>
    </row>
    <row r="93" spans="1:13" x14ac:dyDescent="0.3">
      <c r="A93" s="9">
        <v>545</v>
      </c>
      <c r="B93" s="10">
        <v>14995</v>
      </c>
      <c r="C93" s="11">
        <v>93000</v>
      </c>
      <c r="D93" s="9" t="s">
        <v>12</v>
      </c>
      <c r="E93" s="9" t="s">
        <v>13</v>
      </c>
      <c r="F93" s="9">
        <f t="shared" ca="1" si="1"/>
        <v>10</v>
      </c>
      <c r="G93" s="12" t="s">
        <v>51</v>
      </c>
      <c r="H93" s="9" t="s">
        <v>50</v>
      </c>
      <c r="I93" s="9">
        <v>1.5</v>
      </c>
      <c r="J93" s="9" t="s">
        <v>30</v>
      </c>
      <c r="K93" s="9" t="s">
        <v>47</v>
      </c>
      <c r="L93" s="9">
        <v>2</v>
      </c>
      <c r="M93" s="9">
        <v>2016</v>
      </c>
    </row>
    <row r="94" spans="1:13" x14ac:dyDescent="0.3">
      <c r="A94" s="9">
        <v>560</v>
      </c>
      <c r="B94" s="10">
        <v>9750</v>
      </c>
      <c r="C94" s="11">
        <v>67500</v>
      </c>
      <c r="D94" s="9" t="s">
        <v>12</v>
      </c>
      <c r="E94" s="9" t="s">
        <v>13</v>
      </c>
      <c r="F94" s="9">
        <f t="shared" ca="1" si="1"/>
        <v>9</v>
      </c>
      <c r="G94" s="9" t="s">
        <v>73</v>
      </c>
      <c r="H94" s="9" t="s">
        <v>26</v>
      </c>
      <c r="I94" s="9">
        <v>1.4</v>
      </c>
      <c r="J94" s="9" t="s">
        <v>30</v>
      </c>
      <c r="K94" s="9" t="s">
        <v>27</v>
      </c>
      <c r="L94" s="9">
        <v>4</v>
      </c>
      <c r="M94" s="9">
        <v>2017</v>
      </c>
    </row>
    <row r="95" spans="1:13" x14ac:dyDescent="0.3">
      <c r="A95" s="9">
        <v>566</v>
      </c>
      <c r="B95" s="10">
        <v>44845</v>
      </c>
      <c r="C95" s="9">
        <v>1000</v>
      </c>
      <c r="D95" s="9" t="s">
        <v>17</v>
      </c>
      <c r="E95" s="9" t="s">
        <v>13</v>
      </c>
      <c r="F95" s="9">
        <v>1</v>
      </c>
      <c r="G95" s="9" t="s">
        <v>53</v>
      </c>
      <c r="H95" s="9" t="s">
        <v>26</v>
      </c>
      <c r="I95" s="9">
        <v>2</v>
      </c>
      <c r="J95" s="9" t="s">
        <v>35</v>
      </c>
      <c r="K95" s="9" t="s">
        <v>47</v>
      </c>
      <c r="L95" s="9">
        <v>1</v>
      </c>
      <c r="M95" s="9">
        <v>2025</v>
      </c>
    </row>
    <row r="96" spans="1:13" x14ac:dyDescent="0.3">
      <c r="A96" s="9">
        <v>372</v>
      </c>
      <c r="B96" s="10">
        <v>8250</v>
      </c>
      <c r="C96" s="11">
        <v>48550</v>
      </c>
      <c r="D96" s="9" t="s">
        <v>11</v>
      </c>
      <c r="E96" s="9" t="s">
        <v>21</v>
      </c>
      <c r="F96" s="9">
        <f t="shared" ca="1" si="1"/>
        <v>11</v>
      </c>
      <c r="G96" s="9" t="s">
        <v>74</v>
      </c>
      <c r="H96" s="9" t="s">
        <v>26</v>
      </c>
      <c r="I96" s="9">
        <v>2</v>
      </c>
      <c r="J96" s="9" t="s">
        <v>35</v>
      </c>
      <c r="K96" s="9" t="s">
        <v>27</v>
      </c>
      <c r="L96" s="9">
        <v>5</v>
      </c>
      <c r="M96" s="9">
        <v>2015</v>
      </c>
    </row>
    <row r="97" spans="1:13" x14ac:dyDescent="0.3">
      <c r="A97" s="9">
        <v>585</v>
      </c>
      <c r="B97" s="10">
        <v>6500</v>
      </c>
      <c r="C97" s="11">
        <v>45000</v>
      </c>
      <c r="D97" s="9" t="s">
        <v>12</v>
      </c>
      <c r="E97" s="9" t="s">
        <v>21</v>
      </c>
      <c r="F97" s="9">
        <f t="shared" ca="1" si="1"/>
        <v>8</v>
      </c>
      <c r="G97" s="9" t="s">
        <v>36</v>
      </c>
      <c r="H97" s="9" t="s">
        <v>26</v>
      </c>
      <c r="I97" s="9">
        <v>1.4</v>
      </c>
      <c r="J97" s="9" t="s">
        <v>30</v>
      </c>
      <c r="K97" s="9" t="s">
        <v>27</v>
      </c>
      <c r="L97" s="9">
        <v>4</v>
      </c>
      <c r="M97" s="9">
        <v>2018</v>
      </c>
    </row>
    <row r="98" spans="1:13" x14ac:dyDescent="0.3">
      <c r="A98" s="9">
        <v>589</v>
      </c>
      <c r="B98" s="10">
        <v>11590</v>
      </c>
      <c r="C98" s="11">
        <v>81627</v>
      </c>
      <c r="D98" s="9" t="s">
        <v>11</v>
      </c>
      <c r="E98" s="9" t="s">
        <v>21</v>
      </c>
      <c r="F98" s="9">
        <f t="shared" ca="1" si="1"/>
        <v>5</v>
      </c>
      <c r="G98" s="9" t="s">
        <v>41</v>
      </c>
      <c r="H98" s="9" t="s">
        <v>26</v>
      </c>
      <c r="I98" s="9">
        <v>2</v>
      </c>
      <c r="J98" s="9" t="s">
        <v>38</v>
      </c>
      <c r="K98" s="9" t="s">
        <v>27</v>
      </c>
      <c r="L98" s="9">
        <v>4</v>
      </c>
      <c r="M98" s="9">
        <v>2021</v>
      </c>
    </row>
    <row r="99" spans="1:13" x14ac:dyDescent="0.3">
      <c r="A99" s="9">
        <v>594</v>
      </c>
      <c r="B99" s="10">
        <v>22247</v>
      </c>
      <c r="C99" s="11">
        <v>41041</v>
      </c>
      <c r="D99" s="9" t="s">
        <v>12</v>
      </c>
      <c r="E99" s="9" t="s">
        <v>13</v>
      </c>
      <c r="F99" s="9">
        <f t="shared" ca="1" si="1"/>
        <v>7</v>
      </c>
      <c r="G99" s="9" t="s">
        <v>66</v>
      </c>
      <c r="H99" s="9" t="s">
        <v>50</v>
      </c>
      <c r="I99" s="9">
        <v>2</v>
      </c>
      <c r="J99" s="9" t="s">
        <v>35</v>
      </c>
      <c r="K99" s="9" t="s">
        <v>27</v>
      </c>
      <c r="L99" s="9">
        <v>1</v>
      </c>
      <c r="M99" s="9">
        <v>2019</v>
      </c>
    </row>
    <row r="100" spans="1:13" x14ac:dyDescent="0.3">
      <c r="A100" s="9">
        <v>502</v>
      </c>
      <c r="B100" s="10">
        <v>4450</v>
      </c>
      <c r="C100" s="11">
        <v>125000</v>
      </c>
      <c r="D100" s="9" t="s">
        <v>11</v>
      </c>
      <c r="E100" s="9" t="s">
        <v>21</v>
      </c>
      <c r="F100" s="9">
        <f t="shared" ca="1" si="1"/>
        <v>11</v>
      </c>
      <c r="G100" s="12" t="s">
        <v>46</v>
      </c>
      <c r="H100" s="9" t="s">
        <v>26</v>
      </c>
      <c r="I100" s="9">
        <v>2</v>
      </c>
      <c r="J100" s="9" t="s">
        <v>35</v>
      </c>
      <c r="K100" s="9" t="s">
        <v>27</v>
      </c>
      <c r="L100" s="9">
        <v>3</v>
      </c>
      <c r="M100" s="9">
        <v>2015</v>
      </c>
    </row>
    <row r="101" spans="1:13" x14ac:dyDescent="0.3">
      <c r="A101" s="9">
        <v>598</v>
      </c>
      <c r="B101" s="10">
        <v>5000</v>
      </c>
      <c r="C101" s="11">
        <v>126660</v>
      </c>
      <c r="D101" s="9" t="s">
        <v>11</v>
      </c>
      <c r="E101" s="9" t="s">
        <v>21</v>
      </c>
      <c r="F101" s="9">
        <f t="shared" ca="1" si="1"/>
        <v>10</v>
      </c>
      <c r="G101" s="9" t="s">
        <v>63</v>
      </c>
      <c r="H101" s="9" t="s">
        <v>26</v>
      </c>
      <c r="I101" s="9">
        <v>2</v>
      </c>
      <c r="J101" s="9" t="s">
        <v>43</v>
      </c>
      <c r="K101" s="9" t="s">
        <v>27</v>
      </c>
      <c r="L101" s="9">
        <v>3</v>
      </c>
      <c r="M101" s="9">
        <v>2016</v>
      </c>
    </row>
  </sheetData>
  <autoFilter ref="A1:M598" xr:uid="{3034EE14-C5B0-4523-810D-087A06868FDD}"/>
  <pageMargins left="0.7" right="0.7" top="0.75" bottom="0.75" header="0.3" footer="0.3"/>
  <pageSetup orientation="portrait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3D055D5-686E-4483-8015-D1410316B096}">
  <dimension ref="B1:G9"/>
  <sheetViews>
    <sheetView showGridLines="0" zoomScale="89" zoomScaleNormal="89" workbookViewId="0">
      <selection activeCell="U7" sqref="U7"/>
    </sheetView>
  </sheetViews>
  <sheetFormatPr defaultRowHeight="14.4" x14ac:dyDescent="0.3"/>
  <cols>
    <col min="2" max="2" width="15" bestFit="1" customWidth="1"/>
    <col min="3" max="3" width="17.33203125" customWidth="1"/>
    <col min="4" max="4" width="17.77734375" customWidth="1"/>
    <col min="5" max="5" width="15.44140625" customWidth="1"/>
    <col min="6" max="6" width="13.44140625" customWidth="1"/>
    <col min="7" max="7" width="18.44140625" customWidth="1"/>
  </cols>
  <sheetData>
    <row r="1" spans="2:7" ht="15" thickBot="1" x14ac:dyDescent="0.35"/>
    <row r="2" spans="2:7" ht="25.2" customHeight="1" x14ac:dyDescent="0.3">
      <c r="B2" s="29"/>
      <c r="C2" s="30" t="s">
        <v>5</v>
      </c>
      <c r="D2" s="30" t="s">
        <v>123</v>
      </c>
      <c r="E2" s="30" t="s">
        <v>19</v>
      </c>
      <c r="F2" s="30" t="s">
        <v>6</v>
      </c>
      <c r="G2" s="31" t="s">
        <v>122</v>
      </c>
    </row>
    <row r="3" spans="2:7" ht="30" customHeight="1" x14ac:dyDescent="0.3">
      <c r="B3" s="32" t="s">
        <v>5</v>
      </c>
      <c r="C3" s="27">
        <f>CORREL('Sample 1'!B:B,'Sample 1'!B:B)</f>
        <v>1</v>
      </c>
      <c r="D3" s="28"/>
      <c r="E3" s="28"/>
      <c r="F3" s="28"/>
      <c r="G3" s="33"/>
    </row>
    <row r="4" spans="2:7" ht="30" customHeight="1" x14ac:dyDescent="0.3">
      <c r="B4" s="32" t="s">
        <v>123</v>
      </c>
      <c r="C4" s="28">
        <f ca="1">CORREL('Sample 1'!F:F,'Sample 1'!B:B)</f>
        <v>-0.8134948721570967</v>
      </c>
      <c r="D4" s="27">
        <f ca="1">CORREL('Sample 1'!F:F,'Sample 1'!F:F)</f>
        <v>1.0000000000000002</v>
      </c>
      <c r="E4" s="28"/>
      <c r="F4" s="28"/>
      <c r="G4" s="33"/>
    </row>
    <row r="5" spans="2:7" ht="30" customHeight="1" x14ac:dyDescent="0.3">
      <c r="B5" s="32" t="s">
        <v>19</v>
      </c>
      <c r="C5" s="28">
        <f>CORREL('Sample 1'!I:I,'Sample 1'!B:B)</f>
        <v>0.24037995976883952</v>
      </c>
      <c r="D5" s="28">
        <v>-0.4</v>
      </c>
      <c r="E5" s="27">
        <f>CORREL('Sample 1'!I:I,'Sample 1'!I:I)</f>
        <v>1</v>
      </c>
      <c r="F5" s="28"/>
      <c r="G5" s="33"/>
    </row>
    <row r="6" spans="2:7" ht="30" customHeight="1" x14ac:dyDescent="0.3">
      <c r="B6" s="32" t="s">
        <v>6</v>
      </c>
      <c r="C6" s="28">
        <f>CORREL('Sample 1'!C:C,'Sample 1'!B:B)</f>
        <v>-0.77619425559979338</v>
      </c>
      <c r="D6" s="28">
        <f ca="1">CORREL('Sample 1'!C:C,'Sample 1'!F:F)</f>
        <v>0.74921566765171099</v>
      </c>
      <c r="E6" s="28">
        <f>CORREL('Sample 1'!C:C,'Sample 1'!I:I)</f>
        <v>0.10507476508880315</v>
      </c>
      <c r="F6" s="27">
        <f>CORREL('Sample 1'!C:C,'Sample 1'!C:C)</f>
        <v>0.99999999999999989</v>
      </c>
      <c r="G6" s="33"/>
    </row>
    <row r="7" spans="2:7" ht="30" customHeight="1" thickBot="1" x14ac:dyDescent="0.35">
      <c r="B7" s="34" t="s">
        <v>122</v>
      </c>
      <c r="C7" s="35">
        <f>CORREL('Sample 1'!L:L,'Sample 1'!B:B)</f>
        <v>-0.69001175499362644</v>
      </c>
      <c r="D7" s="35">
        <f ca="1">CORREL('Sample 1'!L:L,'Sample 1'!F:F)</f>
        <v>0.83271016879798621</v>
      </c>
      <c r="E7" s="35">
        <f>CORREL('Sample 1'!L:L,'Sample 1'!I:I)</f>
        <v>-1.6053657719190786E-2</v>
      </c>
      <c r="F7" s="35">
        <f>CORREL('Sample 1'!L:L,'Sample 1'!C:C)</f>
        <v>0.63263468442869797</v>
      </c>
      <c r="G7" s="36">
        <f>CORREL('Sample 1'!L:L,'Sample 1'!L:L)</f>
        <v>1.0000000000000002</v>
      </c>
    </row>
    <row r="8" spans="2:7" ht="30" customHeight="1" x14ac:dyDescent="0.3"/>
    <row r="9" spans="2:7" ht="30" customHeight="1" x14ac:dyDescent="0.3"/>
  </sheetData>
  <conditionalFormatting sqref="C3:G7">
    <cfRule type="colorScale" priority="1">
      <colorScale>
        <cfvo type="min"/>
        <cfvo type="max"/>
        <color rgb="FFFF7128"/>
        <color rgb="FFFFEF9C"/>
      </colorScale>
    </cfRule>
    <cfRule type="colorScale" priority="3">
      <colorScale>
        <cfvo type="min"/>
        <cfvo type="percentile" val="50"/>
        <cfvo type="max"/>
        <color rgb="FFFF0000"/>
        <color theme="0"/>
        <color theme="4"/>
      </colorScale>
    </cfRule>
  </conditionalFormatting>
  <conditionalFormatting sqref="C4:G7 C3 E3:G3">
    <cfRule type="colorScale" priority="2">
      <colorScale>
        <cfvo type="min"/>
        <cfvo type="percentile" val="50"/>
        <cfvo type="max"/>
        <color rgb="FFF8696B"/>
        <color rgb="FFFCFCFF"/>
        <color rgb="FF5A8AC6"/>
      </colorScale>
    </cfRule>
  </conditionalFormatting>
  <pageMargins left="0.7" right="0.7" top="0.75" bottom="0.75" header="0.3" footer="0.3"/>
  <pageSetup orientation="portrait" r:id="rId1"/>
  <drawing r:id="rId2"/>
  <extLst>
    <ext xmlns:x14="http://schemas.microsoft.com/office/spreadsheetml/2009/9/main" uri="{05C60535-1F16-4fd2-B633-F4F36F0B64E0}">
      <x14:sparklineGroups xmlns:xm="http://schemas.microsoft.com/office/excel/2006/main">
        <x14:sparklineGroup dateAxis="1" displayEmptyCellsAs="gap" markers="1" high="1" low="1" first="1" last="1" negative="1" xr2:uid="{308C0104-4B02-4A8A-AC5A-F5909E5312CF}">
          <x14:colorSeries theme="0"/>
          <x14:colorNegative theme="6"/>
          <x14:colorAxis rgb="FF000000"/>
          <x14:colorMarkers theme="5" tint="-0.499984740745262"/>
          <x14:colorFirst theme="5" tint="0.39997558519241921"/>
          <x14:colorLast theme="5" tint="0.39997558519241921"/>
          <x14:colorHigh theme="5"/>
          <x14:colorLow theme="5"/>
          <xm:f>'Sample 1'!F2:F1048576</xm:f>
          <x14:sparklines>
            <x14:sparkline>
              <xm:f>'Sample 1'!B2:B500</xm:f>
              <xm:sqref>D3</xm:sqref>
            </x14:sparkline>
          </x14:sparklines>
        </x14:sparklineGroup>
        <x14:sparklineGroup dateAxis="1" displayEmptyCellsAs="gap" markers="1" high="1" low="1" first="1" last="1" negative="1" xr2:uid="{5D508797-C9D7-4168-91AA-FBA59E96B83C}">
          <x14:colorSeries theme="0"/>
          <x14:colorNegative theme="6"/>
          <x14:colorAxis rgb="FF000000"/>
          <x14:colorMarkers theme="5" tint="-0.499984740745262"/>
          <x14:colorFirst theme="5" tint="0.39997558519241921"/>
          <x14:colorLast theme="5" tint="0.39997558519241921"/>
          <x14:colorHigh theme="5"/>
          <x14:colorLow theme="5"/>
          <xm:f>'Sample 1'!I2:I500</xm:f>
          <x14:sparklines>
            <x14:sparkline>
              <xm:f>'Sample 1'!B2:B500</xm:f>
              <xm:sqref>E3</xm:sqref>
            </x14:sparkline>
          </x14:sparklines>
        </x14:sparklineGroup>
        <x14:sparklineGroup dateAxis="1" displayEmptyCellsAs="gap" markers="1" high="1" low="1" first="1" last="1" negative="1" xr2:uid="{CDFC5FA1-49F8-4A18-A6A1-24912C3C7B3A}">
          <x14:colorSeries theme="0"/>
          <x14:colorNegative theme="6"/>
          <x14:colorAxis rgb="FF000000"/>
          <x14:colorMarkers theme="5" tint="-0.499984740745262"/>
          <x14:colorFirst theme="5" tint="0.39997558519241921"/>
          <x14:colorLast theme="5" tint="0.39997558519241921"/>
          <x14:colorHigh theme="5"/>
          <x14:colorLow theme="5"/>
          <xm:f>'Sample 1'!C2:C500</xm:f>
          <x14:sparklines>
            <x14:sparkline>
              <xm:f>'Sample 1'!B2:B500</xm:f>
              <xm:sqref>F3</xm:sqref>
            </x14:sparkline>
          </x14:sparklines>
        </x14:sparklineGroup>
        <x14:sparklineGroup dateAxis="1" displayEmptyCellsAs="gap" markers="1" high="1" low="1" first="1" last="1" negative="1" xr2:uid="{D1ADB87B-1B66-4CFE-8944-00282EEC5DC6}">
          <x14:colorSeries theme="0"/>
          <x14:colorNegative theme="6"/>
          <x14:colorAxis rgb="FF000000"/>
          <x14:colorMarkers theme="5" tint="-0.499984740745262"/>
          <x14:colorFirst theme="5" tint="0.39997558519241921"/>
          <x14:colorLast theme="5" tint="0.39997558519241921"/>
          <x14:colorHigh theme="5"/>
          <x14:colorLow theme="5"/>
          <xm:f>'Sample 1'!L2:L101</xm:f>
          <x14:sparklines>
            <x14:sparkline>
              <xm:f>'Sample 1'!B2:B500</xm:f>
              <xm:sqref>G3</xm:sqref>
            </x14:sparkline>
          </x14:sparklines>
        </x14:sparklineGroup>
        <x14:sparklineGroup dateAxis="1" displayEmptyCellsAs="gap" markers="1" high="1" low="1" first="1" last="1" negative="1" xr2:uid="{422123E6-4CD5-409A-A012-992E22473C34}">
          <x14:colorSeries theme="0"/>
          <x14:colorNegative theme="6"/>
          <x14:colorAxis rgb="FF000000"/>
          <x14:colorMarkers theme="5" tint="-0.499984740745262"/>
          <x14:colorFirst theme="5" tint="0.39997558519241921"/>
          <x14:colorLast theme="5" tint="0.39997558519241921"/>
          <x14:colorHigh theme="5"/>
          <x14:colorLow theme="5"/>
          <xm:f>'Sample 1'!I2:I101</xm:f>
          <x14:sparklines>
            <x14:sparkline>
              <xm:f>'Sample 1'!F2:F101</xm:f>
              <xm:sqref>E4</xm:sqref>
            </x14:sparkline>
          </x14:sparklines>
        </x14:sparklineGroup>
        <x14:sparklineGroup dateAxis="1" displayEmptyCellsAs="gap" markers="1" high="1" low="1" first="1" last="1" negative="1" xr2:uid="{23B1D77C-2074-436C-B5F7-C77306C1F0F0}">
          <x14:colorSeries theme="0"/>
          <x14:colorNegative theme="6"/>
          <x14:colorAxis rgb="FF000000"/>
          <x14:colorMarkers theme="5" tint="-0.499984740745262"/>
          <x14:colorFirst theme="5" tint="0.39997558519241921"/>
          <x14:colorLast theme="5" tint="0.39997558519241921"/>
          <x14:colorHigh theme="5"/>
          <x14:colorLow theme="5"/>
          <xm:f>'Sample 1'!C2:C101</xm:f>
          <x14:sparklines>
            <x14:sparkline>
              <xm:f>'Sample 1'!F2:F101</xm:f>
              <xm:sqref>F4</xm:sqref>
            </x14:sparkline>
          </x14:sparklines>
        </x14:sparklineGroup>
        <x14:sparklineGroup dateAxis="1" displayEmptyCellsAs="gap" markers="1" high="1" low="1" first="1" last="1" negative="1" xr2:uid="{06DCEAB2-9C8A-4774-BE53-6F5CC459A720}">
          <x14:colorSeries theme="0"/>
          <x14:colorNegative theme="6"/>
          <x14:colorAxis rgb="FF000000"/>
          <x14:colorMarkers theme="5" tint="-0.499984740745262"/>
          <x14:colorFirst theme="5" tint="0.39997558519241921"/>
          <x14:colorLast theme="5" tint="0.39997558519241921"/>
          <x14:colorHigh theme="5"/>
          <x14:colorLow theme="5"/>
          <xm:f>'Sample 1'!L2:L101</xm:f>
          <x14:sparklines>
            <x14:sparkline>
              <xm:f>'Sample 1'!F2:F101</xm:f>
              <xm:sqref>G4</xm:sqref>
            </x14:sparkline>
          </x14:sparklines>
        </x14:sparklineGroup>
        <x14:sparklineGroup dateAxis="1" displayEmptyCellsAs="gap" markers="1" high="1" low="1" first="1" last="1" negative="1" xr2:uid="{16501815-26F5-42DC-8CDA-935726D65F0E}">
          <x14:colorSeries theme="0"/>
          <x14:colorNegative theme="6"/>
          <x14:colorAxis rgb="FF000000"/>
          <x14:colorMarkers theme="5" tint="-0.499984740745262"/>
          <x14:colorFirst theme="5" tint="0.39997558519241921"/>
          <x14:colorLast theme="5" tint="0.39997558519241921"/>
          <x14:colorHigh theme="5"/>
          <x14:colorLow theme="5"/>
          <xm:f>'Sample 1'!C2:C101</xm:f>
          <x14:sparklines>
            <x14:sparkline>
              <xm:f>'Sample 1'!I2:I101</xm:f>
              <xm:sqref>F5</xm:sqref>
            </x14:sparkline>
          </x14:sparklines>
        </x14:sparklineGroup>
        <x14:sparklineGroup dateAxis="1" displayEmptyCellsAs="gap" markers="1" high="1" low="1" first="1" last="1" negative="1" xr2:uid="{1839CBA3-7A2A-4085-866F-A7382C72A809}">
          <x14:colorSeries theme="0"/>
          <x14:colorNegative theme="6"/>
          <x14:colorAxis rgb="FF000000"/>
          <x14:colorMarkers theme="5" tint="-0.499984740745262"/>
          <x14:colorFirst theme="5" tint="0.39997558519241921"/>
          <x14:colorLast theme="5" tint="0.39997558519241921"/>
          <x14:colorHigh theme="5"/>
          <x14:colorLow theme="5"/>
          <xm:f>'Sample 1'!L2:L101</xm:f>
          <x14:sparklines>
            <x14:sparkline>
              <xm:f>'Sample 1'!I2:I101</xm:f>
              <xm:sqref>G5</xm:sqref>
            </x14:sparkline>
          </x14:sparklines>
        </x14:sparklineGroup>
        <x14:sparklineGroup dateAxis="1" displayEmptyCellsAs="gap" markers="1" high="1" low="1" first="1" last="1" negative="1" xr2:uid="{D5B884E2-D6A8-450B-9DC9-AE47A0A5DD5F}">
          <x14:colorSeries theme="0"/>
          <x14:colorNegative theme="6"/>
          <x14:colorAxis rgb="FF000000"/>
          <x14:colorMarkers theme="5" tint="-0.499984740745262"/>
          <x14:colorFirst theme="5" tint="0.39997558519241921"/>
          <x14:colorLast theme="5" tint="0.39997558519241921"/>
          <x14:colorHigh theme="5"/>
          <x14:colorLow theme="5"/>
          <xm:f>'Sample 1'!L2:L101</xm:f>
          <x14:sparklines>
            <x14:sparkline>
              <xm:f>'Sample 1'!C2:C101</xm:f>
              <xm:sqref>G6</xm:sqref>
            </x14:sparkline>
          </x14:sparklines>
        </x14:sparklineGroup>
      </x14:sparklineGroups>
    </ext>
  </extLst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3A622C3-6E25-46E6-887F-85B3367DB985}">
  <dimension ref="A1:D6"/>
  <sheetViews>
    <sheetView workbookViewId="0">
      <selection activeCell="E12" sqref="E12"/>
    </sheetView>
  </sheetViews>
  <sheetFormatPr defaultRowHeight="14.4" x14ac:dyDescent="0.3"/>
  <cols>
    <col min="1" max="2" width="20" customWidth="1"/>
    <col min="3" max="3" width="11.6640625" customWidth="1"/>
  </cols>
  <sheetData>
    <row r="1" spans="1:4" x14ac:dyDescent="0.3">
      <c r="A1" t="s">
        <v>87</v>
      </c>
      <c r="B1">
        <f>CORREL('Sample 1'!B2:B101,'Sample 1'!C2:C101)</f>
        <v>-0.77619425559979338</v>
      </c>
    </row>
    <row r="4" spans="1:4" x14ac:dyDescent="0.3">
      <c r="A4" t="s">
        <v>88</v>
      </c>
      <c r="B4">
        <f>SLOPE('Sample 1'!B2:B101,'Sample 1'!C2:C101)</f>
        <v>-0.18431503689662615</v>
      </c>
    </row>
    <row r="5" spans="1:4" x14ac:dyDescent="0.3">
      <c r="D5" t="s">
        <v>90</v>
      </c>
    </row>
    <row r="6" spans="1:4" x14ac:dyDescent="0.3">
      <c r="A6" t="s">
        <v>89</v>
      </c>
      <c r="B6">
        <f>INTERCEPT('Sample 1'!B2:B101,'Sample 1'!C2:C101)</f>
        <v>26670.841785044271</v>
      </c>
      <c r="D6" t="s">
        <v>91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014D697-2695-4A6D-9CA4-769029D0C74D}">
  <dimension ref="A1:B5"/>
  <sheetViews>
    <sheetView workbookViewId="0">
      <selection activeCell="E13" sqref="E13"/>
    </sheetView>
  </sheetViews>
  <sheetFormatPr defaultRowHeight="14.4" x14ac:dyDescent="0.3"/>
  <cols>
    <col min="1" max="1" width="12.109375" bestFit="1" customWidth="1"/>
    <col min="2" max="2" width="14.33203125" style="19" bestFit="1" customWidth="1"/>
  </cols>
  <sheetData>
    <row r="1" spans="1:2" x14ac:dyDescent="0.3">
      <c r="A1" s="17" t="s">
        <v>85</v>
      </c>
      <c r="B1" s="20" t="s">
        <v>80</v>
      </c>
    </row>
    <row r="2" spans="1:2" x14ac:dyDescent="0.3">
      <c r="A2" s="2" t="s">
        <v>81</v>
      </c>
      <c r="B2" s="13">
        <v>21290.344262295082</v>
      </c>
    </row>
    <row r="3" spans="1:2" x14ac:dyDescent="0.3">
      <c r="A3" s="2" t="s">
        <v>82</v>
      </c>
      <c r="B3" s="13">
        <v>9610.7000000000007</v>
      </c>
    </row>
    <row r="4" spans="1:2" x14ac:dyDescent="0.3">
      <c r="A4" s="2" t="s">
        <v>83</v>
      </c>
      <c r="B4" s="13">
        <v>5514.090909090909</v>
      </c>
    </row>
    <row r="5" spans="1:2" x14ac:dyDescent="0.3">
      <c r="A5" s="2" t="s">
        <v>84</v>
      </c>
      <c r="B5" s="13">
        <v>4848.625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Ave</vt:lpstr>
      <vt:lpstr>Sample</vt:lpstr>
      <vt:lpstr>Average Year</vt:lpstr>
      <vt:lpstr>Color</vt:lpstr>
      <vt:lpstr>mileage</vt:lpstr>
      <vt:lpstr>Engine</vt:lpstr>
      <vt:lpstr>Sample 1</vt:lpstr>
      <vt:lpstr>Corelation</vt:lpstr>
      <vt:lpstr>Relation</vt:lpstr>
      <vt:lpstr>No. of Owner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Asus</dc:creator>
  <cp:lastModifiedBy>Asus</cp:lastModifiedBy>
  <dcterms:created xsi:type="dcterms:W3CDTF">2025-10-07T15:32:48Z</dcterms:created>
  <dcterms:modified xsi:type="dcterms:W3CDTF">2026-04-22T17:14:30Z</dcterms:modified>
</cp:coreProperties>
</file>